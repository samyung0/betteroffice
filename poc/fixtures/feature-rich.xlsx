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6003088a441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7d424983e949d6"/>
    <x:sheet xmlns:r="http://schemas.openxmlformats.org/officeDocument/2006/relationships" name="Source Data" sheetId="2" r:id="R1dc9565293c14c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 &quot;ms&quot;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b/>
      <x:sz val="11"/>
      <x:color rgb="FF1E3A8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2563EB"/>
      </x:patternFill>
    </x:fill>
    <x:fill>
      <x:patternFill patternType="solid">
        <x:fgColor rgb="FFDBEAF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063d7c64f74ee9" /><Relationship Type="http://schemas.openxmlformats.org/officeDocument/2006/relationships/theme" Target="/xl/theme/theme1.xml" Id="R2860ad1c40d1473f" /><Relationship Type="http://schemas.openxmlformats.org/officeDocument/2006/relationships/sharedStrings" Target="/xl/sharedStrings.xml" Id="Re1025e0efee247b3" /><Relationship Type="http://schemas.openxmlformats.org/officeDocument/2006/relationships/worksheet" Target="/xl/worksheets/sheet1.xml" Id="R427d424983e949d6" /><Relationship Type="http://schemas.openxmlformats.org/officeDocument/2006/relationships/worksheet" Target="/xl/worksheets/sheet2.xml" Id="R1dc9565293c14c7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81a5ec12e7f4ef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Viewer stays lighter than editor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Viewer ms</c:v>
          </c:tx>
          <c:marker>
            <c:symbol val="none"/>
          </c:marker>
          <c:cat>
            <c:strRef>
              <c:f>'Summary'!$F$5:$F$9</c:f>
              <c:strCache>
                <c:ptCount val="0"/>
              </c:strCache>
            </c:strRef>
          </c:cat>
          <c:val>
            <c:numRef>
              <c:f>'Summary'!$G$5:$G$9</c:f>
              <c:numCache>
                <c:formatCode>0 "ms"</c:formatCode>
                <c:ptCount val="0"/>
              </c:numCache>
            </c:numRef>
          </c:val>
          <c:smooth val="0"/>
        </c:ser>
        <c:ser>
          <c:idx val="1"/>
          <c:order val="1"/>
          <c:tx>
            <c:v>Editor ms</c:v>
          </c:tx>
          <c:marker>
            <c:symbol val="none"/>
          </c:marker>
          <c:cat>
            <c:strRef>
              <c:f>'Summary'!$F$5:$F$9</c:f>
              <c:strCache>
                <c:ptCount val="0"/>
              </c:strCache>
            </c:strRef>
          </c:cat>
          <c:val>
            <c:numRef>
              <c:f>'Summary'!$H$5:$H$9</c:f>
              <c:numCache>
                <c:formatCode>0 "ms"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 &quot;ms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1a5ec12e7f4ef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5ee5edae6ba400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</x:cols>
  <x:sheetData>
    <x:row r="1">
      <x:c r="A1" s="8" t="str">
        <x:v>BetterOffice browser round-trip fixture</x:v>
      </x:c>
      <x:c r="B1" s="8"/>
      <x:c r="C1" s="8"/>
      <x:c r="D1" s="8"/>
      <x:c r="E1" s="8"/>
      <x:c r="F1" s="8"/>
      <x:c r="G1" s="8"/>
      <x:c r="H1" s="8"/>
    </x:row>
    <x:row r="2">
      <x:c r="A2" s="8"/>
      <x:c r="B2" s="8"/>
      <x:c r="C2" s="8"/>
      <x:c r="D2" s="8"/>
      <x:c r="E2" s="8"/>
      <x:c r="F2" s="8"/>
      <x:c r="G2" s="8"/>
      <x:c r="H2" s="8"/>
    </x:row>
    <x:row r="4">
      <x:c r="A4" s="12" t="str">
        <x:v>Metric</x:v>
      </x:c>
      <x:c r="B4" s="12" t="str">
        <x:v>Current</x:v>
      </x:c>
      <x:c r="C4" s="12" t="str">
        <x:v>Target</x:v>
      </x:c>
      <x:c r="D4" s="12" t="str">
        <x:v>Status</x:v>
      </x:c>
      <x:c r="F4" t="str">
        <x:f>'Source Data'!A1</x:f>
        <x:v>Month</x:v>
      </x:c>
      <x:c r="G4" t="str">
        <x:f>'Source Data'!B1</x:f>
        <x:v>Viewer ms</x:v>
      </x:c>
      <x:c r="H4" t="str">
        <x:f>'Source Data'!C1</x:f>
        <x:v>Editor ms</x:v>
      </x:c>
    </x:row>
    <x:row r="5">
      <x:c r="A5" s="5" t="str">
        <x:v>Viewer load (ms)</x:v>
      </x:c>
      <x:c r="B5" s="13" t="n">
        <x:v>185</x:v>
      </x:c>
      <x:c r="C5" s="13" t="n">
        <x:v>200</x:v>
      </x:c>
      <x:c r="D5" s="5" t="str">
        <x:f>IF(B5&lt;=C5,"PASS","CHECK")</x:f>
        <x:v>PASS</x:v>
      </x:c>
      <x:c r="F5" t="str">
        <x:f>'Source Data'!A2</x:f>
        <x:v>Jan</x:v>
      </x:c>
      <x:c r="G5" t="n">
        <x:f>'Source Data'!B2</x:f>
        <x:v>240</x:v>
      </x:c>
      <x:c r="H5" t="n">
        <x:f>'Source Data'!C2</x:f>
        <x:v>810</x:v>
      </x:c>
    </x:row>
    <x:row r="6">
      <x:c r="A6" s="5" t="str">
        <x:v>Editor load (ms)</x:v>
      </x:c>
      <x:c r="B6" s="13" t="n">
        <x:v>710</x:v>
      </x:c>
      <x:c r="C6" s="13" t="n">
        <x:v>750</x:v>
      </x:c>
      <x:c r="D6" s="5" t="str">
        <x:f>IF(B6&lt;=C6,"PASS","CHECK")</x:f>
        <x:v>PASS</x:v>
      </x:c>
      <x:c r="F6" t="str">
        <x:f>'Source Data'!A3</x:f>
        <x:v>Feb</x:v>
      </x:c>
      <x:c r="G6" t="n">
        <x:f>'Source Data'!B3</x:f>
        <x:v>225</x:v>
      </x:c>
      <x:c r="H6" t="n">
        <x:f>'Source Data'!C3</x:f>
        <x:v>790</x:v>
      </x:c>
    </x:row>
    <x:row r="7">
      <x:c r="A7" s="5" t="str">
        <x:v>Fixture count</x:v>
      </x:c>
      <x:c r="B7" s="5" t="n">
        <x:v>36</x:v>
      </x:c>
      <x:c r="C7" s="5" t="n">
        <x:v>40</x:v>
      </x:c>
      <x:c r="D7" s="5" t="str">
        <x:f>IF(B7&gt;=C7,"PASS","CHECK")</x:f>
        <x:v>CHECK</x:v>
      </x:c>
      <x:c r="F7" t="str">
        <x:f>'Source Data'!A4</x:f>
        <x:v>Mar</x:v>
      </x:c>
      <x:c r="G7" t="n">
        <x:f>'Source Data'!B4</x:f>
        <x:v>210</x:v>
      </x:c>
      <x:c r="H7" t="n">
        <x:f>'Source Data'!C4</x:f>
        <x:v>760</x:v>
      </x:c>
    </x:row>
    <x:row r="8">
      <x:c r="F8" t="str">
        <x:f>'Source Data'!A5</x:f>
        <x:v>Apr</x:v>
      </x:c>
      <x:c r="G8" t="n">
        <x:f>'Source Data'!B5</x:f>
        <x:v>198</x:v>
      </x:c>
      <x:c r="H8" t="n">
        <x:f>'Source Data'!C5</x:f>
        <x:v>735</x:v>
      </x:c>
    </x:row>
    <x:row r="9">
      <x:c r="A9" s="16" t="str">
        <x:v>CAPY_EDIT_MARKER_XLSX</x:v>
      </x:c>
      <x:c r="B9" s="16"/>
      <x:c r="C9" s="16"/>
      <x:c r="D9" s="16"/>
      <x:c r="F9" t="str">
        <x:f>'Source Data'!A6</x:f>
        <x:v>May</x:v>
      </x:c>
      <x:c r="G9" t="n">
        <x:f>'Source Data'!B6</x:f>
        <x:v>185</x:v>
      </x:c>
      <x:c r="H9" t="n">
        <x:f>'Source Data'!C6</x:f>
        <x:v>710</x:v>
      </x:c>
    </x:row>
    <x:row r="10">
      <x:c r="F10"/>
      <x:c r="G10"/>
      <x:c r="H10"/>
    </x:row>
  </x:sheetData>
  <x:mergeCells>
    <x:mergeCell ref="A1:H2"/>
    <x:mergeCell ref="A9:D9"/>
  </x:mergeCells>
  <x:pageMargins left="0.7" right="0.7" top="0.75" bottom="0.75" header="0.3" footer="0.3"/>
  <x:drawing xmlns:r="http://schemas.openxmlformats.org/officeDocument/2006/relationships" r:id="R35ee5edae6ba400e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</x:cols>
  <x:sheetData>
    <x:row r="1">
      <x:c r="A1" s="4" t="str">
        <x:v>Month</x:v>
      </x:c>
      <x:c r="B1" s="4" t="str">
        <x:v>Viewer ms</x:v>
      </x:c>
      <x:c r="C1" s="4" t="str">
        <x:v>Editor ms</x:v>
      </x:c>
      <x:c r="D1" s="4" t="str">
        <x:v>Files</x:v>
      </x:c>
    </x:row>
    <x:row r="2">
      <x:c r="A2" s="5" t="str">
        <x:v>Jan</x:v>
      </x:c>
      <x:c r="B2" s="5" t="n">
        <x:v>240</x:v>
      </x:c>
      <x:c r="C2" s="5" t="n">
        <x:v>810</x:v>
      </x:c>
      <x:c r="D2" s="5" t="n">
        <x:v>12</x:v>
      </x:c>
    </x:row>
    <x:row r="3">
      <x:c r="A3" s="5" t="str">
        <x:v>Feb</x:v>
      </x:c>
      <x:c r="B3" s="5" t="n">
        <x:v>225</x:v>
      </x:c>
      <x:c r="C3" s="5" t="n">
        <x:v>790</x:v>
      </x:c>
      <x:c r="D3" s="5" t="n">
        <x:v>18</x:v>
      </x:c>
    </x:row>
    <x:row r="4">
      <x:c r="A4" s="5" t="str">
        <x:v>Mar</x:v>
      </x:c>
      <x:c r="B4" s="5" t="n">
        <x:v>210</x:v>
      </x:c>
      <x:c r="C4" s="5" t="n">
        <x:v>760</x:v>
      </x:c>
      <x:c r="D4" s="5" t="n">
        <x:v>24</x:v>
      </x:c>
    </x:row>
    <x:row r="5">
      <x:c r="A5" s="5" t="str">
        <x:v>Apr</x:v>
      </x:c>
      <x:c r="B5" s="5" t="n">
        <x:v>198</x:v>
      </x:c>
      <x:c r="C5" s="5" t="n">
        <x:v>735</x:v>
      </x:c>
      <x:c r="D5" s="5" t="n">
        <x:v>30</x:v>
      </x:c>
    </x:row>
    <x:row r="6">
      <x:c r="A6" s="5" t="str">
        <x:v>May</x:v>
      </x:c>
      <x:c r="B6" s="5" t="n">
        <x:v>185</x:v>
      </x:c>
      <x:c r="C6" s="5" t="n">
        <x:v>710</x:v>
      </x:c>
      <x:c r="D6" s="5" t="n">
        <x:v>36</x:v>
      </x:c>
    </x:row>
  </x:sheetData>
  <x:pageMargins left="0.7" right="0.7" top="0.75" bottom="0.75" header="0.3" footer="0.3"/>
</x:worksheet>
</file>