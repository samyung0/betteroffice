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drawingml.chart+xml" PartName="/xl/charts/chart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C info" sheetId="1" r:id="rId4"/>
    <sheet state="visible" name="Faculty Database" sheetId="2" r:id="rId5"/>
    <sheet state="visible" name="Summary" sheetId="3" r:id="rId6"/>
  </sheets>
  <definedNames/>
  <calcPr/>
</workbook>
</file>

<file path=xl/sharedStrings.xml><?xml version="1.0" encoding="utf-8"?>
<sst xmlns="http://schemas.openxmlformats.org/spreadsheetml/2006/main" count="1365" uniqueCount="948">
  <si>
    <t>Workload</t>
  </si>
  <si>
    <t>Feedback</t>
  </si>
  <si>
    <t>Examination</t>
  </si>
  <si>
    <t>Faculty</t>
  </si>
  <si>
    <t>Prerequisite courses (成個faculty嘅學生都要讀嘅科)</t>
  </si>
  <si>
    <t>Course Code</t>
  </si>
  <si>
    <t>Study Tips</t>
  </si>
  <si>
    <t xml:space="preserve">Majors </t>
  </si>
  <si>
    <t>Course Name</t>
  </si>
  <si>
    <t xml:space="preserve">Course code </t>
  </si>
  <si>
    <t>Sem1/2</t>
  </si>
  <si>
    <t>Department</t>
  </si>
  <si>
    <t>Remarks</t>
  </si>
  <si>
    <t>Required Readings (Y/N)</t>
  </si>
  <si>
    <t>No. of field trips</t>
  </si>
  <si>
    <t>Special Tasks (if any)</t>
  </si>
  <si>
    <t>Workload score
 (0-10; 10= Greatest Workload)</t>
  </si>
  <si>
    <t>Assessment Criteria</t>
  </si>
  <si>
    <t>Science</t>
  </si>
  <si>
    <t>No. of Quizzes/Tests</t>
  </si>
  <si>
    <t>Midterm (Y/N)</t>
  </si>
  <si>
    <t>Exam (Y/N)</t>
  </si>
  <si>
    <t>Your grade (Year)</t>
  </si>
  <si>
    <t>DSE Subject Preference</t>
  </si>
  <si>
    <t>SCNC 1111, SCNC 1112, CAES9820, CSCI9001</t>
  </si>
  <si>
    <t>Comments</t>
  </si>
  <si>
    <t xml:space="preserve">SCNC 1112: 就算你中學讀phy, chem 定 bio, 呢個course會逼你讀曬所有science related 嘅嘢，astronomy, cosmology, geology 都要                                                                                                                                                       </t>
  </si>
  <si>
    <t>Food and nutritional science, Biological sciences, Molecular Biology and Biotechnology, Ecology and Biodiversity, Environmental Science</t>
  </si>
  <si>
    <t>BIOL, ENVS</t>
  </si>
  <si>
    <t>CCHU8003</t>
  </si>
  <si>
    <t>Critical Zones: Our Toxic Environment and the Question of Well-Being</t>
  </si>
  <si>
    <t>SCNC 1111</t>
  </si>
  <si>
    <t xml:space="preserve">Biochemistry, Molecular Biology and Biotechnology </t>
  </si>
  <si>
    <t>1&amp;2</t>
  </si>
  <si>
    <t>BIOC</t>
  </si>
  <si>
    <t>Medicine</t>
  </si>
  <si>
    <t>CAES9820</t>
  </si>
  <si>
    <t>Portfolio(40%)
Quality of participation in tutorial discussions(10%)
Video production(30%)
Group project presentation(20%)</t>
  </si>
  <si>
    <t>Mathematics, Statistics, Risk Management</t>
  </si>
  <si>
    <t>STAT, MATH</t>
  </si>
  <si>
    <t>CSCI9001</t>
  </si>
  <si>
    <t>Physics, Chemistry</t>
  </si>
  <si>
    <t>PHYS, CHEM</t>
  </si>
  <si>
    <t>CCHU8004</t>
  </si>
  <si>
    <t>Historical Gaming: Re-inventing the Past in a ‘Post-truth’ Era</t>
  </si>
  <si>
    <t>Humanities (History)</t>
  </si>
  <si>
    <t>Project(50%)
Project presentation(20%)
Classwork and learning reflection(30%)</t>
  </si>
  <si>
    <t>Earth Sciences, Geology</t>
  </si>
  <si>
    <t>EASC</t>
  </si>
  <si>
    <t>CCHU9001</t>
  </si>
  <si>
    <t>Architecture</t>
  </si>
  <si>
    <t>Designs on the future</t>
  </si>
  <si>
    <t>Landscape Architecture</t>
  </si>
  <si>
    <t>Y</t>
  </si>
  <si>
    <t>N/A</t>
  </si>
  <si>
    <t>Weekly easy assignments + 2 group projects (1 poster 1 vid) + 3 individual reflective work (1 short text 1 audio recording 1 vid)</t>
  </si>
  <si>
    <t>Critical Writing(30%) 
Classroom activites(20%)
 Assignments and presentation(50%)</t>
  </si>
  <si>
    <t>N</t>
  </si>
  <si>
    <t>1. B+ (2018-19)</t>
  </si>
  <si>
    <t>Geography but not necesssary</t>
  </si>
  <si>
    <t>Arts</t>
  </si>
  <si>
    <t>Go to lectures and work on the assignments weekly (nothing difficult). Learn how to use vid making and poste design softwares. / DSE subject preference: Geog but not necessary</t>
  </si>
  <si>
    <t>CAES920X, CART9001</t>
  </si>
  <si>
    <t>http://arts.hku.hk/current-students/undergraduate/BA/majors-minors</t>
  </si>
  <si>
    <t>CCHU9002</t>
  </si>
  <si>
    <t>Battles for Bodies: The Birth of Surveillance Society</t>
  </si>
  <si>
    <t>Continual assessment and task focused activities (25%)
Online portfolio (25%)
Course project (50%)</t>
  </si>
  <si>
    <t>1. B (2017-18)</t>
  </si>
  <si>
    <t>chur many essays</t>
  </si>
  <si>
    <t>CCHU9005</t>
  </si>
  <si>
    <t xml:space="preserve">Food and values </t>
  </si>
  <si>
    <t>Humanities (Philosophy)</t>
  </si>
  <si>
    <t>Short Writting Assignments (65%)
special Project(20%)
Tutorial participation (15%)
2017 data: Journals (10%, 5% each)
1000 words Term essay (30%) 
Tutorial participation + 2 easy coursework (30%)
5000 words Final group project (30%)</t>
  </si>
  <si>
    <t>1. B+ (2018-19) 2. B+ (2018-19) 3. A- (2018-19)</t>
  </si>
  <si>
    <t>1. 中意philo&amp;food會中意呢個course</t>
  </si>
  <si>
    <t>CCHU9006</t>
  </si>
  <si>
    <t>Girl Power in a Man's World</t>
  </si>
  <si>
    <t>Sociology&amp;Education</t>
  </si>
  <si>
    <t>太多不能盡錄 eg ENGL, LCOM, HIST...For languages eg Spanish and German: SPAN, GRMN...</t>
  </si>
  <si>
    <t>CCHU9007</t>
  </si>
  <si>
    <t>1.Year 1跟興趣揀唔同dept offer嘅intro courses就可以，Year 2先需要declare major                                                                                                                             2. But also need to check carefully whether you have fufilled the pre-requisites for subjects that you want to major/ minor in in year 1, otherwise you would fail to declare the major: eg HIST have to at least getting 6 credits (completing one course) in year 1</t>
  </si>
  <si>
    <t>Sexuality and gender: Diversity and society</t>
  </si>
  <si>
    <t>Humanities (Gender Studies)</t>
  </si>
  <si>
    <t>Reflective journal(50%)
Web presentation(50%)</t>
  </si>
  <si>
    <t>Busines and Economics</t>
  </si>
  <si>
    <t>(i) ACCT1101 Introduction to Financial Accounting
(ii) ECON1210 Introductory Microeconomics
(iii) FINA1310 Corporate Finance
(iv) Statistics course (STAT1602 Business Statistics or STAT1603 Introductory Statistics)</t>
  </si>
  <si>
    <t>https://www.fbe.hku.hk/ug/programmes</t>
  </si>
  <si>
    <t>CCHU9009</t>
  </si>
  <si>
    <t>Moral Controversies in Contemporary Society</t>
  </si>
  <si>
    <t>Politics and Public Administration</t>
  </si>
  <si>
    <t>Tutorial participation(20%)
Mid-term essay(40%)
 In-class test(40%)</t>
  </si>
  <si>
    <t>N(Test only)</t>
  </si>
  <si>
    <t>1. A- (17/18)
2. A- (17-18)</t>
  </si>
  <si>
    <t>LS (maybe)</t>
  </si>
  <si>
    <t>1. read all the readings because the tutorial focuses on the materials  2. fill in the in-class opinion slips seriously because it can help improve the grade / DSE subject preference: LS (maybe)</t>
  </si>
  <si>
    <t>1.  I think the workload is pretty heavy esp. the reading (like 20 pages per week) so i formed a reading grp w/ my tutormates  2. If u are good in writing essay, then you can try try this course since it only requires you to write 2 pieces of essays for the entire course  3. Since I am not a philo person, I dont enjoy it but it's a course u get what u paid
1. think the course is quite interesting, involves moral discussion, can be inspring but tutorial preparation is needed, reading is required for better discussion</t>
  </si>
  <si>
    <t>CCHU9010</t>
  </si>
  <si>
    <t>Being different: Understanding People with disabilities</t>
  </si>
  <si>
    <t>Social Work and Social Administration</t>
  </si>
  <si>
    <t>3 pop up quizzes, 1 grp proj</t>
  </si>
  <si>
    <t>1. 6 / 2. 6 / 3. 7</t>
  </si>
  <si>
    <t>Tutorial workshop (30%)
Participation(10%)
In-class surprise quiz (30%)
Program workshop (30%)</t>
  </si>
  <si>
    <t>1. B (2018-19) 2. A- (2018-19)  3. A- (2018-2019) 4. A (2017-2018)</t>
  </si>
  <si>
    <t>lecturer is qq and fun but chur，lecturer要求幾高但係學倒好多野的 / 3. 上堂真係要專心，prof隨時叫你答問題 同埋 popquiz考既野有時係prof輕輕講過既野（係ppt上面搵唔到）</t>
  </si>
  <si>
    <t>Some people may complain that the tutor is a little long winded but I absolutely loved it when she talked about past experience and some real-life cases. The in-class quizzes are a little hard so its better to go through the materials before taking them. ／ 3. 好鍾意個prof, 唔會好死板咁教，反而會講好多生活既例子（個disadvantage係佢完全無跟ppt教haha, 所以都鼓勵專心上堂 留意會唔會有咩重點）</t>
  </si>
  <si>
    <t>Dentistry</t>
  </si>
  <si>
    <t>CCHU9011</t>
  </si>
  <si>
    <t xml:space="preserve">Social Divisions in Contemproary Societies </t>
  </si>
  <si>
    <t>1. In-class Essay Critique 
2. Photo Peer Review
3.Presentation</t>
  </si>
  <si>
    <t>Tutorial participation(10%) 
Group presetnaion (20%)
 Individual essay (30%)
In-class Test (40%)</t>
  </si>
  <si>
    <t>Education</t>
  </si>
  <si>
    <t>1. B- (2017-18) 2. B+ (2018-19)</t>
  </si>
  <si>
    <t xml:space="preserve">Not easy to follow in the lecture, reccommended if you are insterested in North Korean social affairs </t>
  </si>
  <si>
    <t>Engineering</t>
  </si>
  <si>
    <t>CCHU9012</t>
  </si>
  <si>
    <t>Body, Beauty and Fashion</t>
  </si>
  <si>
    <t>Sociology</t>
  </si>
  <si>
    <t xml:space="preserve">MATH1851, MATH1853, ENGG1300, ENGG1310, ENGG1320, ENGG1330, ENGG1340, ENGG1350
</t>
  </si>
  <si>
    <t xml:space="preserve">Pres, reflective journal, fieldwork assignment, tutorial participation, 2 in-class quizzes </t>
  </si>
  <si>
    <t>1.8 2.8</t>
  </si>
  <si>
    <t>Reflective journal(40%)
Fieldwork assignment(20%)
In-class test (20%) 
 Tutoiral workshop participation (20%)</t>
  </si>
  <si>
    <t>MATH1851:主要係關於微積分嘅野；後半部係differential equation，which其實係背曬啲野就ok；啲tutorial questions盡量做曬&amp;熟佢，對test&amp;exam好有幫助</t>
  </si>
  <si>
    <t>Civil engineering</t>
  </si>
  <si>
    <t>CIVL</t>
  </si>
  <si>
    <t>1. B (2016-17) 2. A- (2017-18)</t>
  </si>
  <si>
    <t>LS</t>
  </si>
  <si>
    <t>通常year one CGPA過3都穩陣讀到(暫時第二搶手)，都有不少lab，男女比例都有6:1</t>
  </si>
  <si>
    <t>2. don’t deadline fight the journal / DSE subject preference: LS</t>
  </si>
  <si>
    <t>1. Final paper quite chur as need to comment on each lecture but PPT wasn’t uploaded onto Moodle; good for sociology lovers 2. interesting but a bit demanding</t>
  </si>
  <si>
    <t>MATH1853: 前半部分linear algebra關vector/matrix事，有讀M2會容易掌握好多；後半部probability就有讀M1嘅會覺得容易啲</t>
  </si>
  <si>
    <t>Computer Science</t>
  </si>
  <si>
    <t>CCHU9014</t>
  </si>
  <si>
    <t>Spirituality, Religion and Social Change</t>
  </si>
  <si>
    <t>近年最搶手嘅major，best 8 (最佳8科)大概要3.2-3.3先揀到</t>
  </si>
  <si>
    <t>Analytical essay, field visit report, reflective essay, in-class pop quizzes, tutorial participation</t>
  </si>
  <si>
    <t>1.7 2.7</t>
  </si>
  <si>
    <t>Sem 1: Short essays (60%)
 Attendance and participation in lecture group discussion adn tutorials (16%)
  Reflective journal(24%)
 Sem 2: Sem 1: Analytical essay (25%)
 Field visit report (25%)
  Reflective essay (25%)
 Attendance and participation in lecture group discussion adn tutorials (25%)</t>
  </si>
  <si>
    <t>ENGG1300: 呢科教嘅mechanics唔少係近Civil嘅野，後部分就關Mechanical嘅多啲，算係比較難嘅科目，想讀Civil/Mechanical Engineering嘅可以睇下自己嘅能力去到邊</t>
  </si>
  <si>
    <t>1. A- (2016-17) 2. B+ (2017-18)</t>
  </si>
  <si>
    <t>1. No need to do an in-depth study of the readings. Just skim through and remember the key concepts - that would be enough for acing the short quizzes. 2. reading is useful in exam as it is written by lecturer</t>
  </si>
  <si>
    <t>1. So long as you're reflective enough and can express your thoughts, this course should not be hard. Feel free to exchange ideas with others during the tutorials - sometimes others' thoughts could be inspiring. 2. encountered with a Lesbian tutor who does not appreciate Christianity, so be sure to get mentally prepared to listen to opposing voices if you are religious.</t>
  </si>
  <si>
    <t>ENGG1310: 呢個course係關於電嘅野，同dse physics嘅electricity/electromagnetic好相關；呢個course裡面關於magnetic field/electric field嘅部分出名聽唔明&amp;睇唔明嘅，唔識係好正常嘅事，tutorials好重要，因為會教你做功課！；如果想讀大/細電(Electrical/Electronic)嘅可以test下自己有興趣嘅程度</t>
  </si>
  <si>
    <t>CCHU9015</t>
  </si>
  <si>
    <t>Sex and intimacy in modern times</t>
  </si>
  <si>
    <t>ENGG1320: 唔少好似同econ有關係嘅內容，個人覺得唔需要太認真聽書，不過要溫書做test；後部分唔再係上堂聽書，而係做project，有得揀唔同major嘅(優先次序跟test嘅排行)，會有prof跟大家嘅，不妨揀自己有興趣嘅major玩下；對IMSE嘅同學可以認識多啲</t>
  </si>
  <si>
    <t>Participation in Problem-based tutorials (30%) 
Individual essay (20%)
 Group Project (40%)
 Individual reflective exercises (10%)</t>
  </si>
  <si>
    <t>ENGG1330: 學Python呢種programming languange，作為programming新手唔會太吃力，學習過程都算有趣嘅；workload比較大，因為差唔多每個星期都要做tutorial嘅練習；pass左呢個course先可以讀ENGG1340 (advance少少嘅programming course)，如果對Computer Science/Computer Engineering興趣嘅就sem1讀左1330呢個course先！</t>
  </si>
  <si>
    <t>CCHU9018</t>
  </si>
  <si>
    <t>Art and Ideas: East and West</t>
  </si>
  <si>
    <t>Humanities (Fine Arts)</t>
  </si>
  <si>
    <t>In-class tests (50%)
Tutorial discussions (20%)
First paper (15%)
Second paper (15%)</t>
  </si>
  <si>
    <t>N (Test only)</t>
  </si>
  <si>
    <t>ENGG1340 (elective course, choose either 1340 or 1350): 呢個係advanced course黎，會學C++ (一個比Python複雜嘅language)；我個人未讀過呢個course，但係聽人講啲assignment都真係偏難；讀完應該confirm到自己對programming有幾大興趣！</t>
  </si>
  <si>
    <t>CCHU9019</t>
  </si>
  <si>
    <t>From Health to Well-being</t>
  </si>
  <si>
    <t>Family Medicine and Primary Care</t>
  </si>
  <si>
    <t>ENGG1350 (elective course, choose either 1340 or 1350): 學Thermal Dynamics同Fluid Mechanics，適合想讀Civil or Mechanical嘅同學讀；內容唔算太深，thermal嗰part比較多野要背，fluid就要做熟lecture slides &amp; exercise啲題目</t>
  </si>
  <si>
    <t>Discussion forum(10%)
Essay Writing (30%)
Small Group tutorial particiaption(25%)
Small Group project (30%)
 In-class particiaption (5%)</t>
  </si>
  <si>
    <t>B+(2018-2019)</t>
  </si>
  <si>
    <t>must read the chapters from book, must go to tutorials</t>
  </si>
  <si>
    <t>not difficult, teachers are nice</t>
  </si>
  <si>
    <t>Law</t>
  </si>
  <si>
    <t>CCHU9021</t>
  </si>
  <si>
    <t>Critical thinking in Contemporary society</t>
  </si>
  <si>
    <t>一個group present</t>
  </si>
  <si>
    <t>Tutorial participation(10%)
Essay(30%)
Group project (30%)
 IN-class test(30%)</t>
  </si>
  <si>
    <t>1. A- (2018-19)</t>
  </si>
  <si>
    <t xml:space="preserve">Medicine </t>
  </si>
  <si>
    <t>No</t>
  </si>
  <si>
    <t>-All course assigned by faculty          -see curriculum on moodle                   -2 blocks in year1                      -5blocks in year 2</t>
  </si>
  <si>
    <t>Interesting and easy to understand, able to learn tools to analyse modern issues by logic and critical thinking skills</t>
  </si>
  <si>
    <t>CCHU9022</t>
  </si>
  <si>
    <t>Journey into Madness: Conceptions of Mental Health and Mental iIlness</t>
  </si>
  <si>
    <t>Social Sciences</t>
  </si>
  <si>
    <t>Y(but可以唔睇）</t>
  </si>
  <si>
    <t>搞一次活動比精神復康人士/街頭擺booth推廣精神健康</t>
  </si>
  <si>
    <t>Year 1揀最少3個dept offer嘅intro courses (fulfill prerequisites and your major); Year 2先需要declare major; year 2-4 need to do social innovation and global citizenship; global citizenship can be overseas intern or exchange</t>
  </si>
  <si>
    <t>Tutorial Participation(20%)  Reflection paper (50%)             Video production (15%)           Video report (15%)</t>
  </si>
  <si>
    <t>1. B+ (2016-17)
2. B+ (2016-17)
3. A-(2016-17)
4. A- (2019-20)5. A-(2019-20)</t>
  </si>
  <si>
    <t>1. 要搵好既grpmates，因為主要assessment都係圍繞個project活動既前後</t>
  </si>
  <si>
    <t>1. 我個個年代（3年前🥶）啲人話好靚grade，第一堂話上年7成人攞A range，但同身邊朋友一齊讀落又唔覺，同埋都唔算特別輕鬆，但可以唔洗上堂
4. 個lecturer幾nice，內容都唔算太深，只係lecturer會周圍遞咪叫人答問題...🥶              5. tutorial quite chur, have debates originally (though finally deleted due to COVID)</t>
  </si>
  <si>
    <t>CCHU9024</t>
  </si>
  <si>
    <t>The Last Dance: Understanding Daeth and Dying</t>
  </si>
  <si>
    <t>Individual reflective log book(20%)
Group project and audio-visual presentation (25%)
Group Project written report (25%)
Take-home written exam (30%)</t>
  </si>
  <si>
    <t>4 before class moodle quizzes (can google)</t>
  </si>
  <si>
    <t>1.  low workload only one term paper + 4 before class moodle quiz can google, 1 field trip but you don’t have to do anything afterwards, 1 vid, Grade meh, pretty interesting topics</t>
  </si>
  <si>
    <t>CCHU9030</t>
  </si>
  <si>
    <t xml:space="preserve">Image, Space and Society </t>
  </si>
  <si>
    <t>Weekly journal(30%)
Short paper (20%)
Quizzes(20%)
In-class test (30%)</t>
  </si>
  <si>
    <t>CCHU9033</t>
  </si>
  <si>
    <t>Countries of the Mind: Texts that Shape the World</t>
  </si>
  <si>
    <t>English</t>
  </si>
  <si>
    <t>Film viewing</t>
  </si>
  <si>
    <t>Journal writing(25%)
Mid-term test(25%)
Fieldwork assignment(50%)</t>
  </si>
  <si>
    <t>CCHU9034</t>
  </si>
  <si>
    <t>Architecture and Film</t>
  </si>
  <si>
    <t>Video production</t>
  </si>
  <si>
    <t>Class participation(30%)
Critical writing(15%)
Video production(55%)</t>
  </si>
  <si>
    <t>CCHU9039</t>
  </si>
  <si>
    <t>Sexuality and culture</t>
  </si>
  <si>
    <t>Reflective journal(30%)
Contributon in tutorial (20%)
Group project presentation (50%)</t>
  </si>
  <si>
    <t>1. 衝擊 but learn a lottt</t>
  </si>
  <si>
    <t>CCHU9043</t>
  </si>
  <si>
    <t>Rethinking Women: The Big Debates</t>
  </si>
  <si>
    <t>Presentation, poster, only 2 essays</t>
  </si>
  <si>
    <t>1. A range (2017-18)</t>
  </si>
  <si>
    <t>1. Just understand the concepts. No need to memorise.</t>
  </si>
  <si>
    <t>Be passionate in feminism/gender equality - you will enjoy the course thoroughly; lecturer amazing and kind</t>
  </si>
  <si>
    <t>CCHU9044</t>
  </si>
  <si>
    <t>Creative Arts as a way of knowing</t>
  </si>
  <si>
    <t>1 to explore galleries / concert / art-related event</t>
  </si>
  <si>
    <t xml:space="preserve">participation in lectures and tutorials + one essay (~1200 words) + one group project </t>
  </si>
  <si>
    <t>1. 6
2. 2
3. 1</t>
  </si>
  <si>
    <t>Participation in Tutorial and lectures (20%)
Quiz (20%)
Essay (20%)
Project (40%)</t>
  </si>
  <si>
    <t>1. A (2018-19); 2. B+ (2016-17) 3. A- (2018-19)</t>
  </si>
  <si>
    <t>Art/lit</t>
  </si>
  <si>
    <t>1. Must attend all lectures and tutorials  / DSE subject preference: Arts subj or Lit</t>
  </si>
  <si>
    <t>1. I like the tutor so much and the tutorials are very relaxing (drawing, playing drums). 
2. Quite fun, bi-weekly tutorials in medic campus, 應該靚grade因為功課係C+ B-但最後B咗
3. very good grade and light workload, 但d lecture真係好悶，only for 好grade（除非你真係好鐘意好鐘意不同art form）
no exam, in-class online quiz on moodle every lecture, 有ppt + control F 一定識做，fun tutorials
4. Even you don't attend the lectures can get full marks for quiz (quite easy to get an A grade)</t>
  </si>
  <si>
    <t>CCHU9045</t>
  </si>
  <si>
    <t>Vision: The science and Art of perception</t>
  </si>
  <si>
    <t>Paediatrics and Adolescent Medicine&amp;Ophthalmology</t>
  </si>
  <si>
    <t>/</t>
  </si>
  <si>
    <t>presentation</t>
  </si>
  <si>
    <t>3/ 6</t>
  </si>
  <si>
    <t>Essay (40%)
In-class  presentation (20%)
Class discussion (30%)
Literature review (10%)</t>
  </si>
  <si>
    <t>1. B (2018-19) 2. A- (2018-19)</t>
  </si>
  <si>
    <t>1. tutorial: need attendance, sometimes need to read readings, some discussion (mainly based on present, not readings) sem1個tutor每堂只會叫幾個人答問題, sem2個tutor每堂都要全部人答問題，不過啲問題都比較hea。頭半個鐘係present，後半個鐘係lecturer廢up+少少discussion，通常你有上堂都唔洗睇readings，因為啲嘢差唔多。tutor幾好人; 1st tutorial 要搶present題目，越早present越好; 好大機會一個人present 30min，如果怕就唔好揀（10條題目，12人）</t>
  </si>
  <si>
    <t>1. lecture: interesting, need to take attendance; 2. go if u r a psycho lover</t>
  </si>
  <si>
    <t>CCHU9048</t>
  </si>
  <si>
    <t xml:space="preserve">The City: Histories of Urbanism and the Built Environment </t>
  </si>
  <si>
    <t>Tutorial participation (10%)
Reading responses (20%)
Project assignments (60%)
Quizzes and in-class exercises (10%)</t>
  </si>
  <si>
    <t>CCHU9049</t>
  </si>
  <si>
    <t>Reinventing Classical Music</t>
  </si>
  <si>
    <t>Humanities (Music)</t>
  </si>
  <si>
    <t>Project (50%)                                                         Concert report (20%)                                                Participation in lectures adn tutorials(30%)</t>
  </si>
  <si>
    <t>A (2018-2019)</t>
  </si>
  <si>
    <t>hea 讀都靚grade, 唔需要好識music都可以靚grade</t>
  </si>
  <si>
    <t>CCHU9051</t>
  </si>
  <si>
    <t>Mysteries of the Human Mind</t>
  </si>
  <si>
    <t>Tutorial participation(15%)
Brief writing assignments(20%)
Quiz(15%)
Essay(25%)
Portfolio(25%)</t>
  </si>
  <si>
    <t>CCHU9052</t>
  </si>
  <si>
    <t xml:space="preserve">The Best Things in Life: A Philosophical Exploration </t>
  </si>
  <si>
    <t>Tutorial particiaption(20%)   Philosophical essays (30%)    Short essays (50%)</t>
  </si>
  <si>
    <t>CCHU9053</t>
  </si>
  <si>
    <t>Contested Words, Disputed Symbols</t>
  </si>
  <si>
    <t>in-class quizzes (~30mins) x4</t>
  </si>
  <si>
    <t>In-class participation and quizzes (40%)
Tutorial presentation and participation (20%)
Case study (40%)</t>
  </si>
  <si>
    <t>1. A (2018-19) 2. A- (2018-19) 3. A- (2018-19)</t>
  </si>
  <si>
    <t>1. quiz一定要溫lecture ppt</t>
  </si>
  <si>
    <r>
      <rPr>
        <rFont val="Arial"/>
        <color rgb="FF000000"/>
        <sz val="12.0"/>
      </rPr>
      <t xml:space="preserve">1. 建議非BA/Law同學唔好讀；讀完會有唔知自己讀左乜嘅感覺 2. 好靚grade！！！final grade A- while me one quiz C one quiz B- and tutorial dk jo gun mut la😂 </t>
    </r>
    <r>
      <rPr>
        <rFont val="Arial"/>
        <color rgb="FF1155CC"/>
        <sz val="12.0"/>
        <u/>
      </rPr>
      <t>3.</t>
    </r>
    <r>
      <rPr>
        <rFont val="Arial"/>
        <color rgb="FF000000"/>
        <sz val="12.0"/>
      </rPr>
      <t xml:space="preserve"> mm get why will A range at last, all quizes B/B-, the lecturer spoke so fast take yuen this course ho ci mo learn guo anything😂 </t>
    </r>
  </si>
  <si>
    <t>CCHU9055</t>
  </si>
  <si>
    <t>Metamorphoses: Tales of Transformation</t>
  </si>
  <si>
    <t>Workshop participation (25%)
Response essays (40%)
Final paper (35%)</t>
  </si>
  <si>
    <t>CCHU9056</t>
  </si>
  <si>
    <t>Virtual Worlds, Real Bodies</t>
  </si>
  <si>
    <t>Industrial and Manufacturing Systems Engineering</t>
  </si>
  <si>
    <t>Individual continuous assessment (30%)
Group project portfolio (50%)
Presentation and oral participation (20%)</t>
  </si>
  <si>
    <t>1. B+ (1920)</t>
  </si>
  <si>
    <t>1. High workload but grade is ok. 2. this coures used up many storage of your computer as it required to finish your assignment with specific sofeware</t>
  </si>
  <si>
    <t>CCHU9057</t>
  </si>
  <si>
    <t>Killing Stories: A Search for Truth in the Narratives of War</t>
  </si>
  <si>
    <t>Journalism and Media Studies Centre</t>
  </si>
  <si>
    <t xml:space="preserve">Drama production and performance (all script and materials has to be prepared by your group)
One essay </t>
  </si>
  <si>
    <t>Quizzes (20%)
Short paper (30%)
Group project and presentation (50%)</t>
  </si>
  <si>
    <t>1. C+ (2018-19)</t>
  </si>
  <si>
    <t>History</t>
  </si>
  <si>
    <t>1. the test will ask about very detailed information, where revision is required / DSE subject preference: History</t>
  </si>
  <si>
    <t>1. Don't pick this cc unless you are very interested in war history and passionate in performing drama, where 50% of the course grade depends on your drama production</t>
  </si>
  <si>
    <t>CCHU9061</t>
  </si>
  <si>
    <t>Science and Religion: Conflict or Conversation?</t>
  </si>
  <si>
    <t>5 sudden in-class quiz</t>
  </si>
  <si>
    <t>Film and documentary review (20%)
Debate analysis (20%)
Group debates (20%)
Shorrt essays (30%)
Tutorial participation &amp; assignments/ discussions (10%)</t>
  </si>
  <si>
    <t>1. B (2018-19) hea讀 
2. A (2019-20)
3. A- (2019-20)</t>
  </si>
  <si>
    <t>1. everything should take reference from readings  (which is very detailed - like "what examples did the author used?" - seriously...)  
2. I screwed up the quizzes but the essay saved me the year I studied (so I guess you should work hard on the essay..)  
3. if you have time and are interested in philosphy, read all the readings (3-5 pieces with difficult old Eng...). Otherwise, you can just go search summary online</t>
  </si>
  <si>
    <t xml:space="preserve">1. one of the lecturer and the tutor are christians; the course is quite inspiring 
2. the lecturer is boring to the max (it feels like the sciecne lecturer goes on discussing sci theory for the entire lecture w/o leaving much room for discussion for religion; while the religion lecturer just introduces different religions w/o mentioning much sci - maybe I was to stupid to understand the linkage)   
3. the pop-quizes are very detailed that most students only secure 40%-50% on average  
4.  lots of philo readings and the english is hard TT  
5. the essay grade was good because the lecturers in the end decided that they would give u good grade if you wrote a good essay tho not necessarily related to the course knowledge </t>
  </si>
  <si>
    <t>CCHU9062</t>
  </si>
  <si>
    <t>Buddhist Visions in World Cinema</t>
  </si>
  <si>
    <t>Buddhist Studies</t>
  </si>
  <si>
    <t xml:space="preserve">Paricipation in lectures and tutorials (25%)
Critical essay 1(35%)
Critical essay 2(40%)
</t>
  </si>
  <si>
    <t>CCHU9065</t>
  </si>
  <si>
    <t>A Life Worth Living</t>
  </si>
  <si>
    <t>Humanities (Music)&amp;Buddhist Studies</t>
  </si>
  <si>
    <t>Group debates (20%)
Tutorial participation and assignments/ discussions (10%)
In-class discussion (10%)
Short writing assignments (30%)
Final essay (30%)</t>
  </si>
  <si>
    <t>1.B-(Hea Hea地讀) (2018) 
2. A (2018)</t>
  </si>
  <si>
    <t>1. 想好grade最好有興趣，因為咁樣人地先睇得出你係寫緊你人生經歷緊嘅野入出篇Essay or Present嗰度。因為個course重視你將你人生同啲宗教哲學當中有得著 2.要認真聽下部分講得好d ge lecture &amp; tutorials for inspiration, final essay可以諗下自己對人生意義ge疑惑,逐層深入,然後嘗試用5同宗教概念解答</t>
  </si>
  <si>
    <t>對宗教/哲學/人生有啲興趣嘅都可以試試，而且佢講啲野都ok落地。主要每一堂講唔同宗教對人生意義嘅睇法。</t>
  </si>
  <si>
    <t>CCHU9066</t>
  </si>
  <si>
    <t>Human Learning: A Life-long Adventure</t>
  </si>
  <si>
    <t>Humanities (Linguistics)</t>
  </si>
  <si>
    <t>Questions for reflection(20%)
Group project(20%)
Research log(50%)
Tutorial participation(10%)</t>
  </si>
  <si>
    <t>CCHU9068</t>
  </si>
  <si>
    <t>Shaping our World: Liberalism, Socialism and Nationalism</t>
  </si>
  <si>
    <t>1(sat)</t>
  </si>
  <si>
    <t>Business and Economics (Economics)</t>
  </si>
  <si>
    <t>Quizzes (50%)
Writtent paper</t>
  </si>
  <si>
    <t>N (Quiz only)</t>
  </si>
  <si>
    <t>CCHU9069</t>
  </si>
  <si>
    <t>Economic Logic of Civilisations: How Human Societies have Innovated to Deal with Risk</t>
  </si>
  <si>
    <t>Asia Global Institute and Faculty of Business and Economics (Finance)</t>
  </si>
  <si>
    <t>Individual assignments (30%)
Participation in tutorials and discussion forum (20%)
Group project and presentation (20%)
Examination (30%)</t>
  </si>
  <si>
    <t>CCHU9070</t>
  </si>
  <si>
    <t>Making Movies: Creative Expression On Screen</t>
  </si>
  <si>
    <t>Humanities (Comparative Literature)</t>
  </si>
  <si>
    <t>Oral presentation and critique(8%)
Instant movies(37%)
Short film and production portfolio(35%)
Film Festival(10%)
Reflection writing (10%)</t>
  </si>
  <si>
    <t>CCHU9071</t>
  </si>
  <si>
    <t>Man Up: Masculinities in the Making</t>
  </si>
  <si>
    <t>Continuous assessment and task focused activities(30%)
Photo essay(20%)
Essay project(50%)</t>
  </si>
  <si>
    <t>CCHU9074</t>
  </si>
  <si>
    <t>Beyond the Fake News</t>
  </si>
  <si>
    <t>Case study(30%)
Research proposal(25%)
Poster(25%)
Participation(20%)</t>
  </si>
  <si>
    <t>CCHU9075</t>
  </si>
  <si>
    <t>Buddhist Architecture: Monastries in Cross-Cultural Developments</t>
  </si>
  <si>
    <t>Essay and reports(30%)
Project presentation(20%)
In-class participation(20%)
Field trip report(10%)
In-class quizzes(20%)</t>
  </si>
  <si>
    <t>CCHU9076</t>
  </si>
  <si>
    <t>The Journalist: Comics, Movies, Fiction &amp; Fact</t>
  </si>
  <si>
    <t>Group project and presentation(40%)
Review of a movie or a novel(30%)
In-class quizzes(10%)
In-class participation(20%)</t>
  </si>
  <si>
    <t>CCHU9077</t>
  </si>
  <si>
    <t>You Intoxicate Me: Use, Misuse and Dependence on Psychoactive Substances</t>
  </si>
  <si>
    <t>Quizzes(20%)
Short paper(30%)
Group project and presentation(50%)</t>
  </si>
  <si>
    <t>CCHU9078</t>
  </si>
  <si>
    <t>Contemplative Practices: From personal Awareness to Social Well-Being</t>
  </si>
  <si>
    <t>Centre on Behavioral Health</t>
  </si>
  <si>
    <t>Tutorial participation and assignments/discussions(30%)
Reflection paper(40%)
Group presentation(30%)</t>
  </si>
  <si>
    <t>CCHU9079</t>
  </si>
  <si>
    <t>FantASIA: Weaving Queer Intersections in Asia</t>
  </si>
  <si>
    <t>Public exhibition</t>
  </si>
  <si>
    <t>Field report(20%)
Group report(10%)
Quiz(10%)
Reflective journal(40%)
Public exhibition(20%)</t>
  </si>
  <si>
    <t>CCHU9080</t>
  </si>
  <si>
    <t>Dead People’s Things: Excavating the Past with Archaeology</t>
  </si>
  <si>
    <t>Education (Human Communication, Development, and Information Sciences)</t>
  </si>
  <si>
    <t>Participation in classroom activities(25%)
Case analysis(15%)
Individual mini-project(25%)
Group project(25%)
Peer evaluation(10%)</t>
  </si>
  <si>
    <t>CCHU9081</t>
  </si>
  <si>
    <t>Urban Legend: Fact, Myth and Reinterpretation</t>
  </si>
  <si>
    <t>Education (Social Contexts and Policies of Education)</t>
  </si>
  <si>
    <t>Reflective journal(25%)
Field trip report(25%)
Group project(50%)</t>
  </si>
  <si>
    <t>CCHU9082</t>
  </si>
  <si>
    <t>24 Frames: Communicating Ideas through Film</t>
  </si>
  <si>
    <t>Group project(30%)
Poster(20%)
Weekly assignments(15%)
Peer evaluation(15%)
In-class presentation / Class discussion	10
Film analysis	10</t>
  </si>
  <si>
    <t>CCGL9001</t>
  </si>
  <si>
    <t>Hong Kong Cinema through a global lens</t>
  </si>
  <si>
    <t>Y but wiki suffices</t>
  </si>
  <si>
    <t>Pres
Video presentation</t>
  </si>
  <si>
    <t>Film report (20%)
Group presentation with report (25%)
Final essay (40%)
participation in lectures &amp; tutorials (15%)</t>
  </si>
  <si>
    <t>1. A+ (2018)</t>
  </si>
  <si>
    <t>Art and Eng lit</t>
  </si>
  <si>
    <t>1. The pres and essays require analysis of cinematic techniques and of how the techniques illustrate a concept
2.主攻1-2出戲溫+上lecture就ok （lecture有詳細handout可以走） / DSE subject preference: arts and englit</t>
  </si>
  <si>
    <t>1. Wiki suffices but can also watch the movies. Didn’t watch any of the movies in full length. 
2. course好有趣 同埋溫書=睇戲我覺得係輕鬆</t>
  </si>
  <si>
    <t>CCGL9002</t>
  </si>
  <si>
    <t>Hong Kong Culture in the Context of Globalization</t>
  </si>
  <si>
    <t>Humanities (Comparative Literature), Faculty of Arts</t>
  </si>
  <si>
    <t>Depends; 
Self-initiated field trips to complete group project on "cultural tour"</t>
  </si>
  <si>
    <t>Test 1 (15%)
Test 2 (25%)
In-class participation (10%)
Group project on desigining a cultural tour (50%):
Group presentation (15%)
Group reflection (5%)
Tour leaflet with map (15%)
Video tour/ Captioned photo album (15%)</t>
  </si>
  <si>
    <t>1. 8; 2. 6; 3. 3</t>
  </si>
  <si>
    <t>Test (20%)
Term essay (40%)
Presentation (30%)
Tutorial participation, discussion, presentations (10%)</t>
  </si>
  <si>
    <t>1. A- (2018-19) 2. B range (2018-19) 3. A- (2019-20)</t>
  </si>
  <si>
    <t>Liberal Studies</t>
  </si>
  <si>
    <t>1. Be active in tutorials, tutor (SiuFung) will mark down your name everytime u speak  - Try to attend the lectures, even if you can't, make sure you collect all lecture notes as they will be tested on 2. Group project: detailed and creative / DSE subject preference: LS</t>
  </si>
  <si>
    <t>1. Involve more gender studies related topics than expected
- Enjoyable if you like sociology; designing a cultural tour could be v fun as u could be as creative as u like + interview locals
2. group project changed to individual project due to online teaching, so the workload could be quite heavy. topics discussed in lesson are quite interesting</t>
  </si>
  <si>
    <t>CCGL9003</t>
  </si>
  <si>
    <t>Contagions: Global Histories of disease</t>
  </si>
  <si>
    <t>Continual assessment and task-focused activities(35%)
Online Portfolio (15%)
Course project (50%)</t>
  </si>
  <si>
    <t>history and/or science</t>
  </si>
  <si>
    <t xml:space="preserve">1. normal workload </t>
  </si>
  <si>
    <t>CCGL9005</t>
  </si>
  <si>
    <t>Poverty, development, and the next generation: challenges for a global world</t>
  </si>
  <si>
    <t>Presentation (video making), reflection</t>
  </si>
  <si>
    <t>Class assignments (60%)
Group presentation (20%)
Book review (20%)</t>
  </si>
  <si>
    <t>1. C+ (2016-17)
2. B (2016-17)</t>
  </si>
  <si>
    <t>靚分爛grade，但轉咗prof好d</t>
  </si>
  <si>
    <t>CCGL9011</t>
  </si>
  <si>
    <t>Media in the age of Globalization</t>
  </si>
  <si>
    <t>Class participation (12%)         
Group Debate (18%)              
Group research project (35%)      
IN-class test (35%)</t>
  </si>
  <si>
    <t>very light workload good grade jeng tutor</t>
  </si>
  <si>
    <t>CCGL9014</t>
  </si>
  <si>
    <t>Thinking about Global Ethics</t>
  </si>
  <si>
    <t>Department of Politics and Public Administration</t>
  </si>
  <si>
    <t>1 individual presentation + 1 1500-word final essay</t>
  </si>
  <si>
    <t>1.2 4.2</t>
  </si>
  <si>
    <t>Term essay( 60%)
Tutorial particiaption(40%)</t>
  </si>
  <si>
    <t>1. A- (2018-19) 2. A (2018-19)
3. B+ (2017-18); 4. A range (2017-18)</t>
  </si>
  <si>
    <t xml:space="preserve">History but not necessary cus I got no history background </t>
  </si>
  <si>
    <t xml:space="preserve">1.  just click into the moodle of the course then choose two to three topics u are interested in then read the related readings then you can already handle the whole course; 2. Ask tutor for comments on essay topic; 4. Understand the concepts rather than memorize them, try to read up more on recent IR issues </t>
  </si>
  <si>
    <t>1. no attendance will be taken if the tutor is still the same; 2. Super light workload but it is a bit dangerous – your grade largely depends upon your essay 
2. would comment that i cannot really grasp what my tutor's requirements are, but my friends got pretty good grades; 4. Light workload, and interesting to learn about a great variety of IR topics</t>
  </si>
  <si>
    <t>CCGL9015</t>
  </si>
  <si>
    <t>Globalization and migration</t>
  </si>
  <si>
    <t>Tutorial particiaption(30%)
Group Projects (30%)
In-class tests (40%)</t>
  </si>
  <si>
    <t>1. B+</t>
  </si>
  <si>
    <t>1. Analysis with course concepts helps a lot</t>
  </si>
  <si>
    <t>1. Tutor好人+手鬆；上tutorials可以按common sense吹水；workload細</t>
  </si>
  <si>
    <t>CCGL9016</t>
  </si>
  <si>
    <t xml:space="preserve">Feeding the world </t>
  </si>
  <si>
    <t>1 (sat)</t>
  </si>
  <si>
    <t>Quizzes(10%)
Proposal (5%)
In-class test (50%)
Group Project and presentation (35%)</t>
  </si>
  <si>
    <t>CCGL9017</t>
  </si>
  <si>
    <t>Food: Technology, Trade and Culture</t>
  </si>
  <si>
    <t>Biological Sciences</t>
  </si>
  <si>
    <t>Tutorial participation(10%)
Laboratory(20%)
Quiz	(20%)
Group project and presentation(50%)</t>
  </si>
  <si>
    <t>CCGL9018</t>
  </si>
  <si>
    <t>Corporate Social Responsibility</t>
  </si>
  <si>
    <t>Business and Economics (Accounting and Law)</t>
  </si>
  <si>
    <t>one individual essay+two group essays, tutorial every week very chur need to bj answer questions so stressful</t>
  </si>
  <si>
    <t xml:space="preserve">1. 8/ 2. 9/  3.9 </t>
  </si>
  <si>
    <t>Lecture &amp; tutorial participation (10%)
Group written report A (20%)
Group written report B (30%)
Individual written report (40%)</t>
  </si>
  <si>
    <t>1. B+ (2018-19) 2. B range (2018-19) 3. B+ (2018-19) 4. B+ (2018-2019) 5. B+ (2017-18)</t>
  </si>
  <si>
    <t>4. not much, just pay attention in lectures</t>
  </si>
  <si>
    <t>1. business la, for me is boring
2. The workload is much heavier than i thought and I think non-business students like me tend to struggle a lot with understanding the class materials. Chose this course because people said leng grade but turned out... 4. 個prof好有趣(diff from other professors)；但workload算大，同埋努力未必guarantee到靚grade(要睇prof buy唔buy 你篇essay)</t>
  </si>
  <si>
    <t>CCGL9021</t>
  </si>
  <si>
    <t xml:space="preserve">Globalization and tourism </t>
  </si>
  <si>
    <t>Geography</t>
  </si>
  <si>
    <t>Tutorial participation and presentation (20%)
Photo essays (20%)
Field visit report (30%)
In-class Quiz(30%)</t>
  </si>
  <si>
    <t>1. B (2020 sem2)</t>
  </si>
  <si>
    <t>1. Midterm唔夠時間做所以要做快d</t>
  </si>
  <si>
    <t>1. No need attendace for lectures, but need participation in each tutorial session
2. 唔太容易靚grade但係topic幾有趣</t>
  </si>
  <si>
    <t>CCGL9022</t>
  </si>
  <si>
    <t>Globalization in Question:
Human and Economic Consequences</t>
  </si>
  <si>
    <t>Case study preparation(15%)
Video production(25%)
Term paper(35%)
Class participation(25%)</t>
  </si>
  <si>
    <t>CCGL9025</t>
  </si>
  <si>
    <t>The political and economy of growth and poverty in the world</t>
  </si>
  <si>
    <t>Written paper (50%)Examinations (50%)</t>
  </si>
  <si>
    <t>CCGL9026</t>
  </si>
  <si>
    <t>Think Global, act local: You, Hong Kong, and the world</t>
  </si>
  <si>
    <t>Urban Planning and Design</t>
  </si>
  <si>
    <t>Class participation (15%)
Group presentation (15%)
Assignments (15%)
Written reflecetion (15%)
Examination (40%)</t>
  </si>
  <si>
    <t>CCGL9027</t>
  </si>
  <si>
    <t>Criminal organizations, Clandestine Globalization and the illicit world Political Economy</t>
  </si>
  <si>
    <t>Modern Languages &amp; Cultures (Japanese Studies / China Studies)</t>
  </si>
  <si>
    <t>Tutorial participation (10%)
Presentation (25%)
In-class assessment (30%)
Research essays (35%)</t>
  </si>
  <si>
    <t>CCGL9028</t>
  </si>
  <si>
    <t>Gender, Health, and Globalization</t>
  </si>
  <si>
    <t>Hong Kong Institute for the Humanities and Social Sciences</t>
  </si>
  <si>
    <t>Y but I read none haha</t>
  </si>
  <si>
    <t>group presentation, video-making + essay</t>
  </si>
  <si>
    <t>6／7</t>
  </si>
  <si>
    <t>Class participation and tutorial discussions (20%)
Group presentation (15%)
Online discussion (15%)
Final Project and Essay (50%)</t>
  </si>
  <si>
    <t>no</t>
  </si>
  <si>
    <t>A-</t>
  </si>
  <si>
    <t>all fine</t>
  </si>
  <si>
    <t>final video + essay is really important, spend more time on that; you have to propose the topic by yourself so make sure the lecturer approves it</t>
  </si>
  <si>
    <t>The whole course and the lecturer are chill - so just stay relaxed!</t>
  </si>
  <si>
    <t>CCGL9030</t>
  </si>
  <si>
    <t>Financial crisis</t>
  </si>
  <si>
    <t>Business and Economics (Finance)</t>
  </si>
  <si>
    <t>Class particpation and tutorial discussions (10%)
Homework and case summaries (20%)
Group project and presentation (20%)
Individual report on group project (20%)
Take-home test (30%)</t>
  </si>
  <si>
    <t>CCGL9031</t>
  </si>
  <si>
    <t>Entrepreneurship: Global and social development</t>
  </si>
  <si>
    <t>Business and Economics (Management and Strategy)</t>
  </si>
  <si>
    <t>1 quiz, 1 group pres, 1 individual report</t>
  </si>
  <si>
    <t>Class contriburion (30%)
Case summaries and reports (30%)
Projects (20%)
In-class test (20%)</t>
  </si>
  <si>
    <t>1. A- (2018-19) 2.B(2018-2019)</t>
  </si>
  <si>
    <t>1. Be careful of their personal bias – eg they dun like video game entrepreneurs so dun choose such topic for the presentation! plz go ask and check with the tutor for everything.</t>
  </si>
  <si>
    <t xml:space="preserve">1. The things are interesting but the entrepreneurial economics part is a bit difficult. (it requires some econ knowledges lol)  Both the lecturer and the tutor are from mainland and their English is difficult to understand(esp the tutor), but they are nice! </t>
  </si>
  <si>
    <t>CCGL9033</t>
  </si>
  <si>
    <t xml:space="preserve">Waepons of Mass Destruction: Science, proliferation and terroism </t>
  </si>
  <si>
    <t>Earth Sciences</t>
  </si>
  <si>
    <t>Essay (25%)
Group multimedia presentation (25%)
Group debate (20%)
In-class test (30%)</t>
  </si>
  <si>
    <t>&gt;1</t>
  </si>
  <si>
    <t>1. B range</t>
  </si>
  <si>
    <t>CCGL9034</t>
  </si>
  <si>
    <t>Globalization and architecture</t>
  </si>
  <si>
    <t>Y (有Textbook)</t>
  </si>
  <si>
    <t>Powerpoint Presentation</t>
  </si>
  <si>
    <t>1. 7 /  3. 8</t>
  </si>
  <si>
    <t>Tutorial participation (30%)
Mid-term essay (20%)
Quizzes(sudden quiz/ film review) (10%)
Group project and presentation (40%)</t>
  </si>
  <si>
    <t>Y (Essay)</t>
  </si>
  <si>
    <t>1.B- (2018) 2.B+(2017) 3. A (2018)</t>
  </si>
  <si>
    <t>1.睇好啲佢俾嘅Reading，上Tutor/寫Essay果陣會好有幫助; 2. 同archi同學part proj，佢地好識做啱prof口味竹proj 3. 一定要睇readings, 因為上tutor會傾，如果唔係就唔知發生咩事</t>
  </si>
  <si>
    <t>1.真係鐘意Architecture先好讀，好多Field Trip要去令佢Workload 好大; 2. [Sorry我反而好enjoy D field trip] 可以深入見識貸櫃碼頭，又可以有老師帶我地一路行一路欣賞重慶大廈的文化、建築特色，同平日普卜市民的角度好唔同 (如果唔係我冇交一份20%的功課，我相信起碼有A) 3. 真係好悶，workload又重，但係其實唔難完成（只要去曬d fieldtrips，做曬d quiz，就可以），同埋每日用少少時間睇d readings, 基本上midterm+tutor都唔洗溫／prep</t>
  </si>
  <si>
    <t>CCGL9035</t>
  </si>
  <si>
    <t>Challenges of Global Governance: Past and Present</t>
  </si>
  <si>
    <t>Performance in tutorials (20%)
Book analysis (30%)
Examination (50%)</t>
  </si>
  <si>
    <t>1. A- (2018-19) 2. B+ (2018-19)</t>
  </si>
  <si>
    <t xml:space="preserve">History </t>
  </si>
  <si>
    <t xml:space="preserve"> 2.  The workload is pretty light since you only need to write 2 2000-word essay for the entire course  3.  Tutor Lingbo is nice and pretty and helpful  4.  Wilfred's presentation was clear and tried to make use of different international issues to demonstrate the theories he taught  5. He has pop-quizes on core theories  6.  He takes attendance by playing kahoot games w/ students (see how interesting he is!!) / DSE subject preference: HIstory</t>
  </si>
  <si>
    <t>**Wilfred is literally the champ-est lecturer in the entire uni! He is smart and humurous - uses different media to itneract with students (such as kahoop, menti and even games)!!! REALLY APPRECIATE HIS EFFORT!!*** 1.  It would be relatively easy for those who have studies modern western history before because the theories kind of originated from 20th century (and somewhat relevant to WWII &amp; Cold War)   2.  If you are interested in International Relation but not sure whether u like it, this is the course for u because u can get endless helps from Wilfred and Lingbao and CCC glaw/ ppaa people ;P  3. It's literally an enjoyment to go to Wilfred's class every wed</t>
  </si>
  <si>
    <t>CCGL9036</t>
  </si>
  <si>
    <t>Dilemmas of Humanitarian Intervention</t>
  </si>
  <si>
    <t xml:space="preserve">Class participation, simulation background paper, simulation negotiation, in-class written final test </t>
  </si>
  <si>
    <t>Participation in lectures and tutorials (10%)
Simulation (40%)
In-class test (50%)</t>
  </si>
  <si>
    <t>1. jot notes in lecture, esp what the lecturer verbally said / DSE subject preference: History</t>
  </si>
  <si>
    <t>1. would be much better if you know about IR, simulation is like MUN</t>
  </si>
  <si>
    <t>CCGL9038</t>
  </si>
  <si>
    <t>Global Englishes</t>
  </si>
  <si>
    <t>Website and learning reflection (30%)
IN-class presentation (10%)
Tutorial participation (30%)
Classwork and learning reflection (30%)</t>
  </si>
  <si>
    <t>CCGL9040</t>
  </si>
  <si>
    <t>Energy Futures, and Globalization and sustainability</t>
  </si>
  <si>
    <t>Centre for Civil Society and Governance</t>
  </si>
  <si>
    <t>Vid (group), short essay, open-book exam</t>
  </si>
  <si>
    <t>Video production (30%)
Term paper (30%) 
In-class tests (15%)
Tutorial participation (25%)</t>
  </si>
  <si>
    <t>1. A range (2018-19)</t>
  </si>
  <si>
    <t>1. Apply concepts learnt to essay / DSE subject preference: Geog</t>
  </si>
  <si>
    <t>CCGL9042</t>
  </si>
  <si>
    <t>The Evolution of civilization</t>
  </si>
  <si>
    <t>Centre for Genomic Sciences</t>
  </si>
  <si>
    <t>Class discussion(25%)
Group prsentation (25%)
Blog contribution (25%)
In-class quizzes (25%)</t>
  </si>
  <si>
    <t>Every lecture</t>
  </si>
  <si>
    <t>1. B- (1819) 2. B- (18-19) (因為自己好hea但好多frd A range)</t>
  </si>
  <si>
    <t>1. Read lengthy and boring readings before lecture</t>
  </si>
  <si>
    <t>1. So boring...; couldn't meet any good frds as seat was assigned for quizzes in every lecture; quizzes were so hard 
2. 上tutorial多啲講野,冇exam,每堂lecture都有mc quiz,功課只有一份poster</t>
  </si>
  <si>
    <t>CCGL9048</t>
  </si>
  <si>
    <t>Global Crime and Injustice</t>
  </si>
  <si>
    <t>Problem-based Learning sessions (20%)
Individual self-reflection portfolio (30%)
Group project (50%)</t>
  </si>
  <si>
    <t>CCGL9049</t>
  </si>
  <si>
    <t>Carbon, money and lifestyle</t>
  </si>
  <si>
    <t>Tutorial participation  (20%)
Quiz  (20%)
Group project report  (20%)
Group presentation (10%)
Examination (30%)</t>
  </si>
  <si>
    <t>CCGL9052</t>
  </si>
  <si>
    <t>Some We Love, Some We Eat: Human-Animal Relationships in the Global Marketplace</t>
  </si>
  <si>
    <t>Tutorial discussion and debate (15%)
Field trip report (15%)
Reflective writing (30%)
Group project (40%)</t>
  </si>
  <si>
    <t>CCGL9053</t>
  </si>
  <si>
    <t>Suicide: Risks, Research, and Realities</t>
  </si>
  <si>
    <t>HKJC Centre for Suicide Research and Prevention</t>
  </si>
  <si>
    <t>Quizzes (10%)
Debates (45%)
Poster presentation (45%)</t>
  </si>
  <si>
    <t>CCGL9054</t>
  </si>
  <si>
    <t>Responding to the Challenges of Aging Societies</t>
  </si>
  <si>
    <t>In-class test (25%)
Tutorial participation (25%)
Project (50%)</t>
  </si>
  <si>
    <t>B-(2019-20)</t>
  </si>
  <si>
    <t>Make sure you go to every tutorials and master the things mentioned by tutor. Require good English if you choose report.</t>
  </si>
  <si>
    <t>Actually the teacher and tutor are  good, because they not only want student to acquire knowledge, but more importantly, live a better-planned life. But they are really really strict.</t>
  </si>
  <si>
    <t>CCGL9055</t>
  </si>
  <si>
    <t>Genocide: Mass Violence and the Quest for Justice</t>
  </si>
  <si>
    <t>Class participation (30%)
Written reflection (20%)
Project (50%)</t>
  </si>
  <si>
    <t>1. A (2018-19)</t>
  </si>
  <si>
    <t>1. active class participation needed, inspiring but can be frustrated when handling the project; recommending reg with friends so that you have someone to work with on the project, or you can just work alone; however, it is a new course and the teacher's grading criteria may not be very clear</t>
  </si>
  <si>
    <t>CCGL9058</t>
  </si>
  <si>
    <t>Villages and Global Futures</t>
  </si>
  <si>
    <t>Group project and presentation(40%)
Individual journal(30%)
In-class assessments(20%)
Tutorial participation(10%)</t>
  </si>
  <si>
    <t>CCGL9061</t>
  </si>
  <si>
    <t>Digital Humanitarianism: Can You Save the World with Your Computer?</t>
  </si>
  <si>
    <t>Quizzes(10%)
Individual presentation(15%)
Individual mini-project(20%)
Group project and presentation(35%)
Reflective writing(20%)</t>
  </si>
  <si>
    <t>CCGL9062</t>
  </si>
  <si>
    <t>Shaping our Health Across Cultures</t>
  </si>
  <si>
    <t>Group presentation(30%)
Class participation(30%)
Written assignment(40%)</t>
  </si>
  <si>
    <t>CCGL9063</t>
  </si>
  <si>
    <t>How to Make (Sense of) Money</t>
  </si>
  <si>
    <t>Written report(25%)
Written reflections(25%)
In-class quizzes(25%)
Debates(25%)</t>
  </si>
  <si>
    <t>CCGL9064</t>
  </si>
  <si>
    <t>Body Politics: Local Worlds, Global Processes</t>
  </si>
  <si>
    <t xml:space="preserve"> Humanities and Medicine</t>
  </si>
  <si>
    <t>Lecture and tutorial participation(20%)
Individual mini-project(30%)
Reading responses(20%)
Group project and presentation	(30%)</t>
  </si>
  <si>
    <t>CCCH9001</t>
  </si>
  <si>
    <t>Chinese house and garden: Architecture, Landscape, and material culture</t>
  </si>
  <si>
    <t>Quizzes (20%)
Tutorial, lecture and field trip participation (30%)
Project presentation (20%)
Final essay (30%)</t>
  </si>
  <si>
    <t>CCCH9002</t>
  </si>
  <si>
    <t xml:space="preserve">Chinese cities in the 21st century </t>
  </si>
  <si>
    <t>4人一組group project (essay, presentation)</t>
  </si>
  <si>
    <t>Group projects (50%)
Reflective journal(10%)
Semi-open book examination(40%)</t>
  </si>
  <si>
    <t>1. A- (2017-18)</t>
  </si>
  <si>
    <t>1. exam有cheat sheet, 所以唔晒點溫; reflective journal要refer back to readings</t>
  </si>
  <si>
    <t>1. tutor好好人; group project都幾煩下</t>
  </si>
  <si>
    <t>CCCH9004</t>
  </si>
  <si>
    <t>Ideas and images of the West in Late 
Imperial China</t>
  </si>
  <si>
    <t>Chinese</t>
  </si>
  <si>
    <t>Class discussion (10%)
Tutorial participation (30%)
Mini quizzes (10%)
Term paper (50%)</t>
  </si>
  <si>
    <t>CCCH9005</t>
  </si>
  <si>
    <t>The chinese cultural revolution</t>
  </si>
  <si>
    <t xml:space="preserve">Debate, presentation </t>
  </si>
  <si>
    <t>Weekly study questions(20%)
Tutorial discussion and debate(20%)
Essay(20%)
In-class tests (40%)</t>
  </si>
  <si>
    <t>Final Test x1</t>
  </si>
  <si>
    <t>1. A-(2018-19) 2. C+ 3. A+ (2017-18) 4. B+</t>
  </si>
  <si>
    <t>History/中史</t>
  </si>
  <si>
    <t>1. 上tutorial要積極啲，final test背曬佢啲notes就應該識答 2. 努力都唔會有成果，要對近代中史有興趣先讀 3. Same as 1 :0) / DSE subject preference: History, chihist</t>
  </si>
  <si>
    <t>1.workload都幾大，每次tutorial都要present/debate，不過tutor好好人 2. 同上 3. 同上 4.同上+每次都要睇Reading/MOVIE of around 1-2 hours</t>
  </si>
  <si>
    <t>CCCH9006</t>
  </si>
  <si>
    <t>China's Modernation in the East Asian Context</t>
  </si>
  <si>
    <t>Modern Languages and Cultures (Japanese Studies / China Studies)</t>
  </si>
  <si>
    <t>Tutorial presentation 2人一組</t>
  </si>
  <si>
    <t>Tutorial participation (10%) Essay (30%) Tutoiral presentation (30%) In-class test (30%)</t>
  </si>
  <si>
    <t>1. A- (2018-19) 2. A- (2018-19) 3. A (2016-17)
4. A+ (2016-17)</t>
  </si>
  <si>
    <t>1. History 2.中史</t>
  </si>
  <si>
    <t>1. 同朋友一齊reg，tutorial presentation合作上就更輕鬆 2.final test 幾chur，最好同friend夾notes同睇reading溫書 - 要搵個partner做50分鐘既presentation -tutorial盡量搭問題 / DSE subject preference: History, chihist</t>
  </si>
  <si>
    <t>1. DSE有讀History嘅話呢科係接近唔駛讀 
2.感覺多勞多得
3. DSE有讀history既話呢科接近唔洗讀+2  4. Lecturer is super funny - he played guitar during the class once lol . 5. i like the lecture format pretty well: one hour ppt leacturing &amp; 1 hr documentary viewing (some ppl leave during documentary but i personally enjoy watching)</t>
  </si>
  <si>
    <t>CCCH9007</t>
  </si>
  <si>
    <t xml:space="preserve">China in global economy </t>
  </si>
  <si>
    <t xml:space="preserve"> Business and Economics (Economics)</t>
  </si>
  <si>
    <t>Examination (40%)
Tutorials (25%)
Group project presentation(35%)
(incl. written report and oral presentation)</t>
  </si>
  <si>
    <t>CCCH9010</t>
  </si>
  <si>
    <t>Understanding China's governance: Challenges and prospects</t>
  </si>
  <si>
    <t>Tutorial presentation 4人一組 (poster, essay and presentation)</t>
  </si>
  <si>
    <t>Tutorial participation(25%)
Presentaion (10%)
Short paper assignment (35%)
In-class test (30%)</t>
  </si>
  <si>
    <t>Final Test x 1</t>
  </si>
  <si>
    <t>N(test only)</t>
  </si>
  <si>
    <t>1. B (2019)</t>
  </si>
  <si>
    <t>1. 睇reading</t>
  </si>
  <si>
    <t>CCCH9013</t>
  </si>
  <si>
    <t>Love, marriage and Sex in Modern China</t>
  </si>
  <si>
    <t>Pres, poster, vid, essays</t>
  </si>
  <si>
    <t>Individual written assignments (25%)
Group project proposal (15%)
Group project (30%)
Tutoiral participation and presentaion (20%)
Class quiz, project presentaion and screening (10%)</t>
  </si>
  <si>
    <t>Y (quiz)</t>
  </si>
  <si>
    <t>1. Only need to understand the concepts. No need to memorise.</t>
  </si>
  <si>
    <t>1. Rather chill, just make sure you’re interested in the dynamics of feminism, Chinese culture and romance/sex/marriage</t>
  </si>
  <si>
    <t>CCCH9014</t>
  </si>
  <si>
    <t>Social development challenges in China</t>
  </si>
  <si>
    <t>Essay (40%)
Discussion and verbal presentaion in tutorials (20%)
 Open-book quiz (40%)</t>
  </si>
  <si>
    <t>CCCH9015</t>
  </si>
  <si>
    <t>Population, society and sustainable Development in Hong Kong</t>
  </si>
  <si>
    <t>In-class particpation and discussion (20%)
Group research project (30%)
IN-class test(50%)</t>
  </si>
  <si>
    <t>CCCH9016</t>
  </si>
  <si>
    <t>Hong Kong: becoming a Chinese Global City</t>
  </si>
  <si>
    <t>Participation in lectures (10%)
Group presentaion and tutorial participation (20%)
Group project (40%)
Individual reflective exercise (10%)
Field trip reflection(20%)</t>
  </si>
  <si>
    <t>CCCH9017</t>
  </si>
  <si>
    <t>People, Propaganda and profit:understanding Media in China</t>
  </si>
  <si>
    <t>Mid-term essay (30%)
Final essay (40%)
Group presentation (30%)</t>
  </si>
  <si>
    <t>1. A- (2019-20)</t>
  </si>
  <si>
    <t>stay attentive in every tutorial and ans/ raise meaningful questions, coz tutorial participation counts for 15%, when your presentation also counts for 15%// case studies in lectures are quite interesting, beware to examples coz u can reuse them in your tutorial// presentation quite stressful++, i preped overnigt at that time</t>
  </si>
  <si>
    <t xml:space="preserve">a bit chur ge CC, but still worth it if you are curious about the political/ journalistic situation in China </t>
  </si>
  <si>
    <t>CCCH9018</t>
  </si>
  <si>
    <t>Buddhism and Chinese culture</t>
  </si>
  <si>
    <t>Lectures and tutorial participation and presentation (20%)
Group presentation (20%)
Mid-term essay (25%)
Final essay (35%)</t>
  </si>
  <si>
    <t>CCCH9023</t>
  </si>
  <si>
    <t>Family and development</t>
  </si>
  <si>
    <t>In-class participation and discussions(35%)
Group project (30%)
In-class test (35%)</t>
  </si>
  <si>
    <t>1. A- (1718) 2. A (1920) 3. A (1920) 4. A+ (1920) 5. A (1920) 6. A+ (1920) 7. A+ (1920)</t>
  </si>
  <si>
    <t xml:space="preserve">1. Do project and revision with common sense 2. find good grpmates and make sure ur tutor likes ur topic </t>
  </si>
  <si>
    <t xml:space="preserve">1. I enjoy this hea but fruitful course so much ^^ Leng grade 2. warning: high workloads and many group works </t>
  </si>
  <si>
    <t>CCCH9025</t>
  </si>
  <si>
    <t>Humanity and nature in Chinese thought</t>
  </si>
  <si>
    <t>Tutorial participation (25%)
Brief writing assignment (50%)
Short essay (25%)</t>
  </si>
  <si>
    <t>CCCH9026</t>
  </si>
  <si>
    <t>Rule of Law and China’s Economic Miracle</t>
  </si>
  <si>
    <t>Lecture and tutorial participation(20%)
Essays(60%)
Presentation(20%)</t>
  </si>
  <si>
    <t>CCCH9027</t>
  </si>
  <si>
    <t>China's Ethnic Groups: Cultural Assimilation or Cultural Pluralism?</t>
  </si>
  <si>
    <t>Group pres, individual long report</t>
  </si>
  <si>
    <t>Group project and presentation (50%)
Essay/ report writing (50%)</t>
  </si>
  <si>
    <t>distribute group work evenly! Spare time for the 3000-word essay and constantly seek feedback from tutor</t>
  </si>
  <si>
    <t xml:space="preserve">1. boring, but bonus mark for attending lecture hidden in the final grade (said by tutor) </t>
  </si>
  <si>
    <t>CCCH9029</t>
  </si>
  <si>
    <t>Ideas and practices of Healing in traditional China</t>
  </si>
  <si>
    <t>Chinese Medicine</t>
  </si>
  <si>
    <t>2 (藥膳+HKU中醫館)</t>
  </si>
  <si>
    <t>Presentation</t>
  </si>
  <si>
    <t xml:space="preserve">Tutorials (25%)
Presentation (20%)
Short essay (40%)
Field trip and reflective writing(15%) </t>
  </si>
  <si>
    <t>1. workload: 1 hea present, 2 individual essay (midterm: about field trip, 500-1000w; before final: 1500w); presentation: in group of 4-5, peer evaluation通常大家都比A range</t>
  </si>
  <si>
    <t>1. lecture: boring, no need to take attendance and no exam so no need to attend; lecturer very bad english; tutorial: 氣氛輕鬆, need attendance, no quiz, no need to read readings, some discussion (hea); grade: 普遍高，應該有A range，我份essay應該麻麻地所以唔太高</t>
  </si>
  <si>
    <t>CCCH9031</t>
  </si>
  <si>
    <t>Proberty rights, built heritage and sustainable development in Hong Kong</t>
  </si>
  <si>
    <t xml:space="preserve"> Real Estate and Construction</t>
  </si>
  <si>
    <t>Tutorial particiaption and presentation (25%)
Grading of group projects based on Field trip (50%)
Assignments (25%)</t>
  </si>
  <si>
    <t>1. B+ (2018) 2. A+ (2018) 3. A(2019)</t>
  </si>
  <si>
    <t>1. 去晒所有tutorial同埋3次fieldtrip  2.早d開始準備最後個video presentation 3. 揀岩tutor (有d好人會講埋答案俾你知) 
- tutorial講多啲野 / DSE subject preference: geog</t>
  </si>
  <si>
    <t>1. 用錢買grade (每次fieldtrip都要用~100hkd買地圖) 2.tutor好悶但係得幾次同埋會早放</t>
  </si>
  <si>
    <t>CCCH9032</t>
  </si>
  <si>
    <t>Sports and Chinese Society</t>
  </si>
  <si>
    <t>Tutorials (discussion, presentation, debate) (30%)
Short essays (40%)
Film viewing and internet search (30%)</t>
  </si>
  <si>
    <t>CCCH9033</t>
  </si>
  <si>
    <t>Sustainable urban development and Hong Kong</t>
  </si>
  <si>
    <t>Presentation, poster, group project, quiz</t>
  </si>
  <si>
    <t>N (just one lecture not in HKU)</t>
  </si>
  <si>
    <t xml:space="preserve"> Group Presentaion(20%)
Field trip reflection(50%) 
In-class assessments(30%)</t>
  </si>
  <si>
    <t>Pop-up quizzes</t>
  </si>
  <si>
    <t>1.A (2018)  2. B+ (one sub grade deducted due to late submission of peer-evaluation) (2017-18)</t>
  </si>
  <si>
    <t>1.Group project includes poster(with concise info of your findings), presentation and final report</t>
  </si>
  <si>
    <t>1. Lectures are boring, no need attend near end sem; 2. One required reading for every tutorial, no field trips(one lecture is not in hku), do not need to attend lecture As the name subject suggest, it is about sustainability of the society. (eg social challenge, Heritage Conservation) The lecturer is boring but some of the content are quite fun.</t>
  </si>
  <si>
    <t>CCCH9037</t>
  </si>
  <si>
    <t>Chinese Mythology</t>
  </si>
  <si>
    <t>Presentation (40%)
Tutorial discussion (10%)
Written report (50%)</t>
  </si>
  <si>
    <t>1. Final essay問清楚tutor意見先開始做</t>
  </si>
  <si>
    <t>1. Tutor幾好人，workload唔大，不過如果唔鍾意中史/中國文化就唔好揀</t>
  </si>
  <si>
    <t>CCCH9039</t>
  </si>
  <si>
    <t>Curing the Chinese: medicine and society in Modern China</t>
  </si>
  <si>
    <t>Tutorial presentation and participation (30%)
Short essay (20%)
Reflective journal (20%)
End of take-home test (30%)</t>
  </si>
  <si>
    <t>CCCH9040</t>
  </si>
  <si>
    <t>Representing contemporary China through film</t>
  </si>
  <si>
    <t>Group presentaion (20%)
Short essay (30%)
Final essay (40%)
Tutorial particiaption and presentation (10%)</t>
  </si>
  <si>
    <t>A- (2019-20)</t>
  </si>
  <si>
    <t>1. not necessarily to go to lectures loll, seems that tutorial also don't take attendence (but dk the situation in previous years/ and the coming years coz this year has COVID), but it is recommened to attend the tutorials coz you can get so many inspirations from the tutor for your assignments, and also learn to apply many concepts        2. you will have to use film(s) as case studies to analysis selected topic, be sure to find your interested ones so that you could enjoy</t>
  </si>
  <si>
    <t>chill and interesting, can watch many (Chinese) movies according to your wishes</t>
  </si>
  <si>
    <t>CCCH9041</t>
  </si>
  <si>
    <t>Rule of Law in Contemporary China</t>
  </si>
  <si>
    <t>Term paper (50%)
Group project (30%)
Participation in tutorials/ group discussions (20%)</t>
  </si>
  <si>
    <t>B+ (2018-19)</t>
  </si>
  <si>
    <t>1. involve legal concepts such as human rights, also involves traditional Chinese thinking streams such as Confuscians. Need hard work for preparing tutorials, mass research needed for paper writing.</t>
  </si>
  <si>
    <t>CCCH9042</t>
  </si>
  <si>
    <t>Corruption and Anticorruption in China</t>
  </si>
  <si>
    <t>Lecture participation (10%)
Tutorial participation (15%)
Tutorial presentation (10%)
Response essays (30%)
Group research project (35%)</t>
  </si>
  <si>
    <t>CCCH9044</t>
  </si>
  <si>
    <t>Dunhuang and the Silk Road: Art, Culture and Trade</t>
  </si>
  <si>
    <t>Essay (30%)
Group presentation (20%)
Class participation (20%)
Field trip report (10%)
Quizzes (20%)</t>
  </si>
  <si>
    <t>CCCH9045</t>
  </si>
  <si>
    <t>Superpower': Engaging with the Global Implications of China's Rise</t>
  </si>
  <si>
    <t>Tutorial participation (30%)
Group work (30%)
Project (40%)</t>
  </si>
  <si>
    <t>CCCH9046</t>
  </si>
  <si>
    <t>Propaganda State': Culture and Politcs in the People's Republic of China</t>
  </si>
  <si>
    <t>Tutorial participation (30%)
Case study (30%)
In-class pop quizzes (40%)</t>
  </si>
  <si>
    <t>CCCH9047</t>
  </si>
  <si>
    <t>Will the 'Real' China Please Stand Up?: Interpreting Chinese Civilization</t>
  </si>
  <si>
    <t>Tutorial participation (30%)
Log book (30%)
Project (40%)</t>
  </si>
  <si>
    <t>must go to lectures and pay full attention</t>
  </si>
  <si>
    <t>Although this course is chur, you can really learn deep thinking</t>
  </si>
  <si>
    <t>CCCH9048</t>
  </si>
  <si>
    <t>Memory Holes and Martyrs: Creating China’s Past</t>
  </si>
  <si>
    <t>Tutorial participation (30%)
Project (30%)
In-calss pop quizzess (40%)</t>
  </si>
  <si>
    <t>CCCH9050</t>
  </si>
  <si>
    <t>Blessings or Curses? World Heritage Sites in China and their Sustainability</t>
  </si>
  <si>
    <t>Real Estate and Construction</t>
  </si>
  <si>
    <t>In-class participation (15%)
Tutorials presentation and participation (20%)
Field trip report (25%)
Group project (40%)</t>
  </si>
  <si>
    <t>CCCH9051</t>
  </si>
  <si>
    <t>Digitizing Cultural Heritage in Greater China</t>
  </si>
  <si>
    <t>Continuous assessment and task focused activities (30%)
Video production (15%)
Reflective writing (15%)
Group project (30%)
Peer evaluation (10%)</t>
  </si>
  <si>
    <t>CCCH9052</t>
  </si>
  <si>
    <t>Arts, Science and Artifacts in Chinese Cultural Heritage</t>
  </si>
  <si>
    <t>Physics</t>
  </si>
  <si>
    <t>Field visit reports(10%)
Essay(10%)
Laboratory report(10%)
Poster presentation	(20%)
In-class presentation(20%)
In-class test(30%)</t>
  </si>
  <si>
    <t>CCCH9054</t>
  </si>
  <si>
    <t>Mothering China: From the Womb to the Nation</t>
  </si>
  <si>
    <t xml:space="preserve"> Humanities (History)</t>
  </si>
  <si>
    <t>1. A- 2.B+ (2019-20)</t>
  </si>
  <si>
    <t>1. topics quite interesting       2.tutorials chill(discuss project) 3.Mainly one individual, one group project and pop up quizes</t>
  </si>
  <si>
    <t>CCST9002</t>
  </si>
  <si>
    <t>Quantitative Literacy in science, technology and society</t>
  </si>
  <si>
    <t>E-Forum (20%)
Group presentaion (30%)
Individual assessment (20%)
Quiz (20%)</t>
  </si>
  <si>
    <t>B(2019-20)</t>
  </si>
  <si>
    <t>MUST go to tutorials, teach you how to do the quetions in quiz. If you are not good at maths, especially handling graphs and datas, then please go to lecutres.</t>
  </si>
  <si>
    <t>The content is not difficult, but it's not easy to meet one of the professor's expectations, he is killer.</t>
  </si>
  <si>
    <t>CCST9003</t>
  </si>
  <si>
    <t>Everyday Computing and the Internet</t>
  </si>
  <si>
    <t xml:space="preserve">Performance in class(20%)
Short survey (10%)
3-mins talk(15%)
Project report (20%)
Group project presentation(15%)
Homework (20%) </t>
  </si>
  <si>
    <t>基本上你只要跟足做曬所有嘢就一定好grade；asm既話有video 但係都係好睇創意既嘢～；佢好特別既地方就係tutorial係用google doc 😂 佢係flipped classroom，要睇佢俾你嗰啲影片之後先可以答係Google doc既嘢，以group為單位工作；因為佢係其中一個communicative intensive course 所以要expect好多解釋、分組合作討論既環節</t>
  </si>
  <si>
    <t>讀art, sosci嗰啲唔關engine科嘅人佢會酌情處理，好好人！不過佢禮拜六上，比其他cc早完，課程編排比較密，有兩三個禮拜六係全日都要上堂，早上一part然後下午一part；佢真係唔似其他cc，幾好玩！！</t>
  </si>
  <si>
    <t>CCST9006</t>
  </si>
  <si>
    <t>Chasing Biomedical Miracles: Promises and Perils</t>
  </si>
  <si>
    <t>Reading assignment (0%)
Short essay (40%)
Tutorial discussion (30%)
Poster presentation(30%)</t>
  </si>
  <si>
    <t>CCST9009</t>
  </si>
  <si>
    <t>Living with stem cells</t>
  </si>
  <si>
    <t>lab x3-4, 2 grp proj, 1 individual proj</t>
  </si>
  <si>
    <t>In-class continuous assessment (20%)
(discussions, debates, activities)
Practicals        (10%)
Group projects        (25%)
Individual assignments(25%)
In-class test(20%)</t>
  </si>
  <si>
    <t>1. very heavy workload, lecture+tutorial discussion, need to do lab on sat, real rubbish</t>
  </si>
  <si>
    <t>CCST9010</t>
  </si>
  <si>
    <t xml:space="preserve">The science of crime investigation </t>
  </si>
  <si>
    <t>Written assignments(30%)
Problem-based Learning tutorials(20%)
Analysis and preparation of a case file(20%)
Presentation case analysis and conclusions(30%)</t>
  </si>
  <si>
    <t>Chemistry, Biology</t>
  </si>
  <si>
    <t>1. lecture: biweekly，要玩佢整嘅CSI game, no need attendance
-tutorial: biweekly, need attendance, 遲到扣分, 去到要傾project, 老師問問題就最好主動講多啲嘢, 好似都計分
-readings: 有片睇，唔睇都得，不過上堂會聽唔明，同埋要睇左先識寫essay
-workload: group report biweekly (chisin), 1 group present tgt with a huge case file, individual midterm essay 800w (need to write professionally in those wordings about crime, need very clear evidence and logic)
-present: in group of 10, 40min each group (inc. Q&amp;A), 2 days during revision week (compulsory) / DSE subject preference: chem, bio</t>
  </si>
  <si>
    <t>1. must hv freeriders, that’s why very heavy workload, usually only 3-6 ppl doing the report everytime; tips: don’t reg if u r afraid of blood, they give u real crime scene; quite fun but chur到痴線</t>
  </si>
  <si>
    <t>CCST9012</t>
  </si>
  <si>
    <t xml:space="preserve">Our place in the universe </t>
  </si>
  <si>
    <t>Assignments(20%)
Laboratory report (20%)
Mid-term test (20%)
Examination (40%)</t>
  </si>
  <si>
    <t>1.冇數計嘅中學physics，幾需要空間感下。寫essay盡量用自己idea (懶嘅唔cite source都得🤪)強烈建議搵讀過physics嘅人carry你😎</t>
  </si>
  <si>
    <t>CCST9013</t>
  </si>
  <si>
    <t>Our Living Environment</t>
  </si>
  <si>
    <t>1 (Stephen Hui Geological Museum)</t>
  </si>
  <si>
    <t xml:space="preserve">Online quiz after museum visit, 
Poster Presentation </t>
  </si>
  <si>
    <t>Literature review (20%)
Paleoclimate laboratory (30%)
Concept mapping with explanations (20%)
Multiple choice quiz (30%)</t>
  </si>
  <si>
    <t>1. C+ (2016-17)</t>
  </si>
  <si>
    <t xml:space="preserve">Geography </t>
  </si>
  <si>
    <t>Work with your friends for the online test, all questions are the same  / DSE subject preference: geog</t>
  </si>
  <si>
    <t xml:space="preserve">低workload但爛grade </t>
  </si>
  <si>
    <t>CCST9014</t>
  </si>
  <si>
    <t>Science and music</t>
  </si>
  <si>
    <t>Y
(no need to read lol)</t>
  </si>
  <si>
    <t>1. 1819:
In-class test (40%)
Tutorial group presentation (30%)
Individual essay on presentation topic(30%)</t>
  </si>
  <si>
    <t>7 
(No workload before the test, 
average workload for the presentation and essay, 
crazy workload for the test)</t>
  </si>
  <si>
    <t>In-class tests (40%)
Projects (60%)</t>
  </si>
  <si>
    <t>N
(test in April only)</t>
  </si>
  <si>
    <t>1. Memorise all the key points the tutor emphasised in tutorials
- Better to participate in lectures to watch all the videos played by the professor, if not, make sure you try to click into all the links in the powerpoint and watch the videos.
- Start revising for the test earlier because it covers all the topic powerpoints (~60 pages/ topic x ~11 topics). 1819 test was about 40 MCQ questions (many of which hard facts that you have to memorise from the ppt) (can be very stupid e.g. why is the maximum audio length on a CD 74 minutes?), 10 multi-media questions (videos n audio files played in class/ attached in the ppt; others). Have to be very familiar with the topics to get the answer right in a very short period of time / DSE subject preference: physics</t>
  </si>
  <si>
    <t xml:space="preserve">1. 1718 test average should be 40%. 1819 average should be around 50%. Basically if you got an average for the test, you need to score full marks/ near full marks for the presentation and the essay to get an A range course mark.
- Test design is stupid and contrary to the purpose of education, honestly don't reg this course unless you have good physics (sound waves) and music foundation.
</t>
  </si>
  <si>
    <t>CCST9016</t>
  </si>
  <si>
    <t>Energy: Its evolution and environmental impacts</t>
  </si>
  <si>
    <t>Essays and reports (25%)
Quizzes (25%)
Examination(50%)</t>
  </si>
  <si>
    <t>1. A(17-18)</t>
  </si>
  <si>
    <t>Probably Geography</t>
  </si>
  <si>
    <t>1. study hard / DSE subject preference: geog</t>
  </si>
  <si>
    <t>1. need to be hardworking, previous geography knnowledge helps 'blow water', workload is a bit heavy. Tutorials seem to be more important than lectures.</t>
  </si>
  <si>
    <t>CCST9017</t>
  </si>
  <si>
    <t xml:space="preserve">Hidden order in daily life: A mathematical perspective </t>
  </si>
  <si>
    <t>Writing assignments (35%)
Mini project and group presentation (35%)
Examination (30%)</t>
  </si>
  <si>
    <t>1. B+ (1617) 2 B+ (1718)</t>
  </si>
  <si>
    <t>M1/M2</t>
  </si>
  <si>
    <t>1. Study &amp; do proj with engin/sci mates / DSE subject preference: M1 or M2</t>
  </si>
  <si>
    <t>1. Love maths &amp; using scientific method for investigation</t>
  </si>
  <si>
    <t>CCST9018</t>
  </si>
  <si>
    <t>Origin and evolution of life</t>
  </si>
  <si>
    <t>Essay(25%)
Poster presentation(25%)
Group debates(20%)
In-class test(30%)</t>
  </si>
  <si>
    <t>1. - 無final quiz，得quiz （五次到，比較多long q都幾）poster presentation 同artical writing，workload尚可以 - lecture會唔知佢up mud同lecturer好嚴，無比傾計同用電話、電腦</t>
  </si>
  <si>
    <t>CCST9019</t>
  </si>
  <si>
    <t xml:space="preserve">Understanding climate change </t>
  </si>
  <si>
    <t>Online quiz after field trip</t>
  </si>
  <si>
    <t>Essay (20%)
Multiple choice quiz (20%)
Group presentation and blog (20%)
Field trip worksheets (10%)
Lab reports (30%)</t>
  </si>
  <si>
    <t>1. field trip quiz係based on worksheet; 讀理科有優勢 / DSE subject preference:geog</t>
  </si>
  <si>
    <t>1. 都幾大workload，但tutorial有時間做</t>
  </si>
  <si>
    <t>CCST9020</t>
  </si>
  <si>
    <t>Sustainable development of the built environment</t>
  </si>
  <si>
    <t xml:space="preserve">In-classuizzes (10%)
Participation in tutorial discussions (15%)
Assignment (15%)
Field visit reports (20%)
Examination (40%)    </t>
  </si>
  <si>
    <t>1. 盡量背lecture notes</t>
  </si>
  <si>
    <t>1. 同ENGG1201嘅內容有8成overlap (雖然依家無左呢科)</t>
  </si>
  <si>
    <t>CCST9021</t>
  </si>
  <si>
    <t>Hong Kong: Our marine heritage</t>
  </si>
  <si>
    <t xml:space="preserve">Self-learning exercises(20%)
Field trip worksheet(10%)
In-class assessments(10%)
Group project(30%)
Tutorial participation and individual presentation(20%)
Written assignment(10%)     </t>
  </si>
  <si>
    <t>CCST9022</t>
  </si>
  <si>
    <t xml:space="preserve">How the Mass Media depicts science, technology and natural world </t>
  </si>
  <si>
    <t>In-class quizzes(20%)
Individual mini-project (30%)
Group presentation(20%)
Case study (30%)</t>
  </si>
  <si>
    <t>1. super low workload but I fry mc quiz, don’t know what’s happening for whole term, won’t recommend so aimless man</t>
  </si>
  <si>
    <t>CCST9023</t>
  </si>
  <si>
    <t>The oceans: science and society</t>
  </si>
  <si>
    <t>Black box assignment(15%)
Field trip worksheet and MCQ(15%)
Laboratory reprort(15%)
Essay(10%)
Mini-debate(15%)
Final class MCQ(30%)</t>
  </si>
  <si>
    <t>CCST9025</t>
  </si>
  <si>
    <t xml:space="preserve">Genetics and human nature </t>
  </si>
  <si>
    <t>In-class quiz for each lecture</t>
  </si>
  <si>
    <t>Tutorial discussions(25%)
Group presentations(25%)
Blog contribution(25%)
In-class quizzes(25%)</t>
  </si>
  <si>
    <t>1.A (2019)</t>
  </si>
  <si>
    <t>Biology</t>
  </si>
  <si>
    <t>DSE subject preference: bio</t>
  </si>
  <si>
    <t xml:space="preserve">1. 2019轉沙宣上堂, </t>
  </si>
  <si>
    <t>CCST9026</t>
  </si>
  <si>
    <t>Scientific Revolutions: Their Continuing Impact on Our World and Society</t>
  </si>
  <si>
    <t>in-class final test, individual essay, group poster pres, reading assignements</t>
  </si>
  <si>
    <t>In-class test(40%)
Individual mini-project-essay(20%)
Group presentation (20%)
Reading assignments(20%)</t>
  </si>
  <si>
    <t>N (test only)</t>
  </si>
  <si>
    <t>1. B range 2. A (2018-19)</t>
  </si>
  <si>
    <t>Plysics</t>
  </si>
  <si>
    <t>2. recite all ppt slides, recite answers of the sample paper as the MCs are almost identical with the real ones, try to form group with 1-2 science major for poster; tutor likes wordy poster / DSE subject preference:physics</t>
  </si>
  <si>
    <t>2. very relaxing course, closely related to astronomy and paradigm change of science</t>
  </si>
  <si>
    <t>CCST9027</t>
  </si>
  <si>
    <t>The science of irrational thinking</t>
  </si>
  <si>
    <t xml:space="preserve">a quiz for every tutorial + 4 inclass quiz in lectures + Exam + six HWs (you have to read and answer 6 questions for every hws, ~600-1000 words for each HW) </t>
  </si>
  <si>
    <t>Homework tasks(40%)
Assignments(10%)
Research proposal(15%)
Quizzes(10%)
Final test (25%)</t>
  </si>
  <si>
    <t xml:space="preserve">1 in each tutorial </t>
  </si>
  <si>
    <t>1. B (2017-18) since skipped 2 in-class quizzes
2. B+ (2017-18) 3. C+ (1718)</t>
  </si>
  <si>
    <t>1. Extremely interesting content but heavy workload</t>
  </si>
  <si>
    <t>CCST9030</t>
  </si>
  <si>
    <t>Forensic Science: unmasking evidence,
mysteries and crimes</t>
  </si>
  <si>
    <t>Case studies and Problem-based Learning tutorial(25%)
Group report(15%)
Assignments and laboratory reports(30%)
Quizzes(30%)</t>
  </si>
  <si>
    <t>CCST9032</t>
  </si>
  <si>
    <t xml:space="preserve">Intelligent architecture and sustainability </t>
  </si>
  <si>
    <t>Group report on presentation topic(15%)
Group assignment activity and presentation(25%)
Homework( 25%)
Quizzes(15%)
Individual final report (20%)</t>
  </si>
  <si>
    <t>1. A- (2018)</t>
  </si>
  <si>
    <t>1.Mid-term and Final project quite challenging</t>
  </si>
  <si>
    <t>1.Recommend for students studying Architecture/ Engineering</t>
  </si>
  <si>
    <t>CCST9033</t>
  </si>
  <si>
    <t>Left Brain, Right Brain: Science and myth</t>
  </si>
  <si>
    <t>CCST9034</t>
  </si>
  <si>
    <t xml:space="preserve">Living in a harzardous world </t>
  </si>
  <si>
    <t>Hazard porfolio(35%)
Short presentation(20%)
Participation in tutorial discussions (5%)
Examination (40%)</t>
  </si>
  <si>
    <t>CCST9035</t>
  </si>
  <si>
    <t>Making sense of science-related social
issues</t>
  </si>
  <si>
    <t>Oral pres, lecture participation, grp poster pres, individual essays x2</t>
  </si>
  <si>
    <t>1.4 ; 2.2; 4.6; 5.6</t>
  </si>
  <si>
    <t>Participation in classroom activities (20%)
Oral report on a SSI (15%)
Peer-evaluated poster presentation (25%)
Essay (40%)</t>
  </si>
  <si>
    <t>5-6 pop quizzes</t>
  </si>
  <si>
    <t>1. A- (2017-2018) 2. A- (2018-19) 4. B+ (2017-18) 5. A range (2018-19) 6. A+ (2017-18) 7. A+ (2019-20) 8. A+ (2019-20)</t>
  </si>
  <si>
    <t>1. 強調：有science底*不是*一個著數，prof鍾意人有common sense去理解同批判啲新聞。讀science嘅，千祈唔好拋書包。laymen嘅，可以引用自己本科嘅角度嚟批判。如果有好groupmates，啲coursework好輕鬆。 5. Make sure you attend the lectures for surprise quizzes, and have a very basic understanding of how science works, answer with the buzz words 7. Tutorial踴躍d問tutor對assignment既要求/想你內容寫咩</t>
  </si>
  <si>
    <t xml:space="preserve">1. workload係出奇地輕省，學係學思考角度，冇咩知識袋落袋 2. The guidelines could be unclear at times </t>
  </si>
  <si>
    <t>CCST9037</t>
  </si>
  <si>
    <t xml:space="preserve">Mathematics: a cultural heritage </t>
  </si>
  <si>
    <t xml:space="preserve">In-class worksheets(10%)
Written assignments(30%)
Tutorial discussion(20%)
Group project (essay and presentation)(40%) </t>
  </si>
  <si>
    <t>CCST9038</t>
  </si>
  <si>
    <t>Science and science fiction</t>
  </si>
  <si>
    <t>Debates(0%)
Group presentation(45%)
Short essays(30%)
In-class test(25%)</t>
  </si>
  <si>
    <t>CCST9042</t>
  </si>
  <si>
    <t>The world of waves</t>
  </si>
  <si>
    <t>Mid-term quizzes(60%)
Term paper(30%)
Presentation(10%)</t>
  </si>
  <si>
    <t>1.B- (2018-19) (我第一次quiz好低分，所以真係靚grade😂) 2.B(1920)  3.A(1920)</t>
  </si>
  <si>
    <t>Phy/Geog</t>
  </si>
  <si>
    <t>1.每次test溫足書
2.儘早寫essay / DSE subject preference:phy or geog   3.lecture唔係好重要，tutorial會重溫lecture啲重點，tests絕大部分都係考tutorial啲野；份term paper refer多啲paper其實唔會太難寫</t>
  </si>
  <si>
    <t>Geog應該緊要啲😂佢考好多地形</t>
  </si>
  <si>
    <t>CCST9043</t>
  </si>
  <si>
    <t>Time's arrow</t>
  </si>
  <si>
    <t>Problem-based Learning sessions(30%)
Poster presentation(15%)
Project report(10%)
Essay(35%)
In-class test(10%)</t>
  </si>
  <si>
    <t>CCST9045</t>
  </si>
  <si>
    <t>The science and lore of culinary culture</t>
  </si>
  <si>
    <t>Poster and oral presentation(40%)
Lecture participation(10%)
Tutorial discussion and debate(10%)
Laboratory report and experiment participation(20%)
In-class quizzes(20%)</t>
  </si>
  <si>
    <t>1. C+</t>
  </si>
  <si>
    <t>要識煮野食，有一個proj係研究食物</t>
  </si>
  <si>
    <t>唔識煮野食會GGG</t>
  </si>
  <si>
    <t>CCST9047</t>
  </si>
  <si>
    <t>The age of big data</t>
  </si>
  <si>
    <t>Class discussion(5%)
Problem-based learning sessions(15%)
Debates(10%)
Essay/report writing(10%)
Group projects (40%)
Quizzes(20%)</t>
  </si>
  <si>
    <t>CCST9048</t>
  </si>
  <si>
    <t>Simplifying Complexity</t>
  </si>
  <si>
    <t>Weekly assignments(30%)
Written report(10%)
Portfolio(10%)
Group presentation(10%)
Group report(30%)
Class discussion(10%)</t>
  </si>
  <si>
    <t>B (2019)</t>
  </si>
  <si>
    <t>Math</t>
  </si>
  <si>
    <t>1. Need to be good at mathematics and logical thinking. / DSE subject preference:math</t>
  </si>
  <si>
    <t>1. Bi-weekly assignment
2. Group project not much workload
3. May not understand the concepts and topics even though you finished the assignments
(4. bad grade because my groupmate didn't appear on presentation day and the tutor thought we had poor cooperation)</t>
  </si>
  <si>
    <t>CCST9049</t>
  </si>
  <si>
    <t>From Human Vision to Machine Vision</t>
  </si>
  <si>
    <t>In-class participation and discussions (10%)
Group project (10%)
Written assignment (10%)
Participation in tutorials and workshops (10%)
Quiz (20%)
Examination (40%)</t>
  </si>
  <si>
    <t>CCST9050</t>
  </si>
  <si>
    <t>Robot: Flesh, Machines, Intelligence</t>
  </si>
  <si>
    <t>Group presentation, 3000-word essay, story, in-class exercise</t>
  </si>
  <si>
    <t>Essay(30%)
Tutorial participation(15%)
Group project and presentation(55%)</t>
  </si>
  <si>
    <t>1. A range (2018-19) 2. A- (2019-20) 3. B+ (2019-20)</t>
  </si>
  <si>
    <t>1. Make your presentation creative  / DSE subject preference: science</t>
  </si>
  <si>
    <t>1. Easy to get good grade, but presentation has to be impressive. Recommended to non-science students.</t>
  </si>
  <si>
    <t>CCST9051</t>
  </si>
  <si>
    <t>What are We Made of – the Fundamental Nature of Matter</t>
  </si>
  <si>
    <t>Poster production and presentation</t>
  </si>
  <si>
    <t>Assignments(30%)
Pre-project presentation(5%)
Project presentation(25%)
In-class test(40%)</t>
  </si>
  <si>
    <t>1 (40%, in the last lecture)</t>
  </si>
  <si>
    <t>1. B (2018-19)</t>
  </si>
  <si>
    <t>1. pretty much material to be revised for the final test as it covers all previous lectures which some experiments and scientists are included / DSE subject preference:physics</t>
  </si>
  <si>
    <t>1. Suitable for students who wish to understand what is the most fundamental material of all things, but this course is not for those aiming high grade as the lecturer is not likely to “派” grade</t>
  </si>
  <si>
    <t>CCST9056</t>
  </si>
  <si>
    <t>The Force is with You: How Things Work</t>
  </si>
  <si>
    <t>Case study (25%)
Group presentation (30%)
Tutorial participation and performance (10%)
In-class tests (35%)</t>
  </si>
  <si>
    <t>CCST9062</t>
  </si>
  <si>
    <t>Sports: For You and Hong Kong</t>
  </si>
  <si>
    <t>CCST9063</t>
  </si>
  <si>
    <t>The unseen: invaders, healers, and the mocrobial world</t>
  </si>
  <si>
    <t xml:space="preserve">In-class test   (33%)
Presentation(33%)                                           Tutorial participation   (34%)
</t>
  </si>
  <si>
    <t>CCST9064</t>
  </si>
  <si>
    <t>The World Changed by DNA</t>
  </si>
  <si>
    <t>~3人一組tutorial presentation (15mins)</t>
  </si>
  <si>
    <t>Essay (40%)
Presentation (25%)
In-class quizzes (20%)
Tutorial participation (15%)</t>
  </si>
  <si>
    <t>post-lecture online quiz x10</t>
  </si>
  <si>
    <t>1. B+ (2018-19) 2. B (2018-19) 3.A- (2019-20)</t>
  </si>
  <si>
    <t>Bio</t>
  </si>
  <si>
    <t>1. 文科生可以搵理科朋友一齊reg，幫助很大；2. 要識寫essay</t>
  </si>
  <si>
    <t>1. Tutor好好人 2.Have quizes but the answers are mainly in ppt</t>
  </si>
  <si>
    <t>CCST9065</t>
  </si>
  <si>
    <t>Women in Science</t>
  </si>
  <si>
    <t>Presentation(40%)
Poster(40%)
Debate(20%)</t>
  </si>
  <si>
    <t>1. B+ (2019-2020)</t>
  </si>
  <si>
    <t>1. Poster整齊啲，跟足instructions就可以了:D</t>
  </si>
  <si>
    <t>1. 文科生讀呢個CC完全冇困難！唔需要識Science concepts XD (佢話我Poster plagiarized 但最後都冇fail 到）</t>
  </si>
  <si>
    <t>CCST9066</t>
  </si>
  <si>
    <t>Big Data Solutions to Social Problems: The Good, The Bad and The Ugly</t>
  </si>
  <si>
    <t>Tutorial participation(10%)
Group project(30%)
Quizzes(20%)
Critique essay(40%)</t>
  </si>
  <si>
    <t>CCST9067</t>
  </si>
  <si>
    <t>Leaving Earth: Our Future in Space</t>
  </si>
  <si>
    <t>Debates(20%)
Writing assignments(30%)
Photo essay(10%)
Final project(20%)
In-class quizzes(20%)</t>
  </si>
  <si>
    <t>CCST9068</t>
  </si>
  <si>
    <t>Artificial Intelligence: Utopia or Dystopia</t>
  </si>
  <si>
    <t>Group project proposal(5%)
Group presentation(25%)
Group project (20%)
In-class participation(20%)
Debates(10%)
Tutorial participation(20%)</t>
  </si>
  <si>
    <t>CCST9070</t>
  </si>
  <si>
    <t>Nature-Inspired Innovations</t>
  </si>
  <si>
    <t>Group proposal and report(20%)
Group assessment: poster(20%)
Individual assessment: essay(45%)
Field trip report	15</t>
  </si>
  <si>
    <t>CCST9072</t>
  </si>
  <si>
    <t>Smile! Teeth and Society</t>
  </si>
  <si>
    <t>Dentisry</t>
  </si>
  <si>
    <t>Video production(35%)
Continuous assessment and task focused activities(30%)
Individual reflective exercises(35%)</t>
  </si>
  <si>
    <t>CCST9073</t>
  </si>
  <si>
    <t>Emotion, Cognition and Brain</t>
  </si>
  <si>
    <t>Project(40%)
Fieldtrip assignment(15%)
Essay(30%)
Continuous assessment and task focused activities(15%)</t>
  </si>
  <si>
    <t>CCST9074</t>
  </si>
  <si>
    <t>Water: Resources, Policy and Technology</t>
  </si>
  <si>
    <t>Tutorial participation(10%)
Fieldwork report(20%)
Case study(40%)
Oral presentation(10%)
Individual student journal(20%)</t>
  </si>
  <si>
    <t>CCST9075</t>
  </si>
  <si>
    <t>Be Fit! Be Active!</t>
  </si>
  <si>
    <t>Reflective journal (25%)
Written report(30%)
Roleplay / Debate (20%)
Poster and oral presentation(25%)</t>
  </si>
  <si>
    <t>Area</t>
  </si>
  <si>
    <t>Courses</t>
  </si>
  <si>
    <t>Rated courses</t>
  </si>
  <si>
    <t>Average workload</t>
  </si>
  <si>
    <t>Rated share</t>
  </si>
  <si>
    <t>CCCH</t>
  </si>
  <si>
    <t>CCGL</t>
  </si>
  <si>
    <t>CCHU</t>
  </si>
  <si>
    <t>CCST</t>
  </si>
  <si>
    <t>UAT_RUN_MARKER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</si>
</sst>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d"/>
  </numFmts>
  <fonts count="14">
    <font>
      <sz val="10.0"/>
      <color rgb="FF000000"/>
      <name val="Arial"/>
    </font>
    <font>
      <name val="Arial"/>
    </font>
    <font>
      <b/>
      <sz val="12.0"/>
      <color rgb="FF000000"/>
      <name val="Arial"/>
    </font>
    <font>
      <b/>
      <sz val="12.0"/>
      <name val="Arial"/>
    </font>
    <font>
      <sz val="12.0"/>
      <name val="Arial"/>
    </font>
    <font>
      <sz val="12.0"/>
      <color rgb="FFFF9900"/>
      <name val="Arial"/>
    </font>
    <font>
      <sz val="12.0"/>
      <color rgb="FF000000"/>
      <name val="Arial"/>
    </font>
    <font>
      <u/>
      <color rgb="FF1155CC"/>
      <name val="Arial"/>
    </font>
    <font>
      <u/>
      <sz val="12.0"/>
      <color rgb="FF000000"/>
      <name val="Arial"/>
    </font>
    <font>
      <sz val="12.0"/>
      <color rgb="FF38761D"/>
      <name val="Arial"/>
    </font>
    <font>
      <strike/>
      <sz val="12.0"/>
      <color rgb="FF000000"/>
      <name val="Arial"/>
    </font>
    <font>
      <sz val="12.0"/>
      <color rgb="FFFF0000"/>
      <name val="Arial"/>
    </font>
    <font>
      <sz val="12.0"/>
      <color rgb="FF0000FF"/>
      <name val="Arial"/>
    </font>
    <font>
      <sz val="12.0"/>
    </font>
  </fonts>
  <fills count="6">
    <fill>
      <patternFill patternType="none"/>
    </fill>
    <fill>
      <patternFill patternType="lightGray"/>
    </fill>
    <fill>
      <patternFill patternType="solid">
        <fgColor rgb="FFCCCCCC"/>
        <bgColor rgb="FFCCCCCC"/>
      </patternFill>
    </fill>
    <fill>
      <patternFill patternType="solid">
        <fgColor rgb="FFB7E1CD"/>
        <bgColor rgb="FFB7E1CD"/>
      </patternFill>
    </fill>
    <fill>
      <patternFill patternType="solid">
        <fgColor rgb="FFEA9999"/>
        <bgColor rgb="FFEA9999"/>
      </patternFill>
    </fill>
    <fill>
      <patternFill patternType="solid">
        <fgColor rgb="FFC9DAF8"/>
        <bgColor rgb="FFC9DAF8"/>
      </patternFill>
    </fill>
  </fills>
  <borders count="1">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horizontal="center" shrinkToFit="0" vertical="bottom" wrapText="1"/>
    </xf>
    <xf borderId="0" fillId="4" fontId="2" numFmtId="0" xfId="0" applyAlignment="1" applyFill="1" applyFont="1">
      <alignment horizontal="center" shrinkToFit="0" vertical="bottom" wrapText="1"/>
    </xf>
    <xf borderId="0" fillId="2" fontId="1" numFmtId="0" xfId="0" applyAlignment="1" applyFill="1" applyFont="1">
      <alignment vertical="bottom"/>
    </xf>
    <xf borderId="0" fillId="5" fontId="2" numFmtId="0" xfId="0" applyAlignment="1" applyFill="1" applyFont="1">
      <alignment horizontal="center" shrinkToFit="0" vertical="bottom" wrapText="1"/>
    </xf>
    <xf borderId="0" fillId="4" fontId="2" numFmtId="0" xfId="0" applyAlignment="1" applyFill="1" applyFont="1">
      <alignment horizontal="center" shrinkToFit="0" vertical="bottom" wrapText="1"/>
    </xf>
    <xf borderId="0" fillId="0" fontId="1" numFmtId="0" xfId="0" applyAlignment="1" applyFont="1">
      <alignment vertical="bottom"/>
    </xf>
    <xf borderId="0" fillId="2" fontId="3" numFmtId="0" xfId="0" applyAlignment="1" applyFill="1" applyFont="1">
      <alignment horizontal="center" shrinkToFit="0" vertical="bottom" wrapText="1"/>
    </xf>
    <xf borderId="0" fillId="2" fontId="2" numFmtId="0" xfId="0" applyAlignment="1" applyFill="1" applyFont="1">
      <alignment horizontal="center" shrinkToFit="0" vertical="bottom" wrapText="1"/>
    </xf>
    <xf borderId="0" fillId="2" fontId="3" numFmtId="0" xfId="0" applyAlignment="1" applyFill="1" applyFont="1">
      <alignment horizontal="center" vertical="bottom"/>
    </xf>
    <xf borderId="0" fillId="2" fontId="3" numFmtId="0" xfId="0" applyAlignment="1" applyFill="1" applyFont="1">
      <alignment horizontal="center" vertical="bottom"/>
    </xf>
    <xf borderId="0" fillId="2" fontId="2" numFmtId="0" xfId="0" applyAlignment="1" applyFill="1" applyFont="1">
      <alignment horizontal="center" shrinkToFit="0" vertical="bottom" wrapText="1"/>
    </xf>
    <xf borderId="0" fillId="2" fontId="2" numFmtId="0" xfId="0" applyAlignment="1" applyFill="1" applyFont="1">
      <alignment horizontal="center" readingOrder="0" shrinkToFit="0" vertical="bottom" wrapText="1"/>
    </xf>
    <xf borderId="0" fillId="0" fontId="3"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shrinkToFit="0" vertical="bottom" wrapText="1"/>
    </xf>
    <xf borderId="0" fillId="0" fontId="1" numFmtId="0" xfId="0" applyAlignment="1" applyFont="1">
      <alignment vertical="bottom"/>
    </xf>
    <xf borderId="0" fillId="0" fontId="4" numFmtId="0" xfId="0" applyAlignment="1" applyFont="1">
      <alignment shrinkToFit="0" vertical="bottom" wrapText="1"/>
    </xf>
    <xf borderId="0" fillId="0" fontId="5" numFmtId="0" xfId="0" applyAlignment="1" applyFont="1">
      <alignment horizontal="center" readingOrder="0" shrinkToFit="0" vertical="bottom" wrapText="1"/>
    </xf>
    <xf borderId="0" fillId="0" fontId="6" numFmtId="0" xfId="0" applyAlignment="1" applyFont="1">
      <alignment readingOrder="0" shrinkToFit="0" vertical="bottom" wrapText="1"/>
    </xf>
    <xf borderId="0" fillId="0" fontId="6" numFmtId="0" xfId="0" applyAlignment="1" applyFont="1">
      <alignment horizontal="center" readingOrder="0" shrinkToFit="0" vertical="bottom" wrapText="1"/>
    </xf>
    <xf borderId="0" fillId="0" fontId="6" numFmtId="0" xfId="0" applyAlignment="1" applyFont="1">
      <alignment horizontal="center" shrinkToFit="0" vertical="bottom" wrapText="1"/>
    </xf>
    <xf borderId="0" fillId="0" fontId="6" numFmtId="0" xfId="0" applyAlignment="1" applyFont="1">
      <alignment horizontal="center" shrinkToFit="0" vertical="bottom" wrapText="1"/>
    </xf>
    <xf borderId="0" fillId="0" fontId="4" numFmtId="0" xfId="0" applyAlignment="1" applyFont="1">
      <alignment shrinkToFit="0" vertical="bottom" wrapText="1"/>
    </xf>
    <xf borderId="0" fillId="0" fontId="4" numFmtId="0" xfId="0" applyAlignment="1" applyFont="1">
      <alignment horizontal="center" vertical="bottom"/>
    </xf>
    <xf borderId="0" fillId="0" fontId="5" numFmtId="0" xfId="0" applyAlignment="1" applyFont="1">
      <alignment horizontal="center" shrinkToFit="0" vertical="bottom" wrapText="1"/>
    </xf>
    <xf borderId="0" fillId="0" fontId="3" numFmtId="0" xfId="0" applyAlignment="1" applyFont="1">
      <alignment shrinkToFit="0" vertical="bottom" wrapText="1"/>
    </xf>
    <xf borderId="0" fillId="0" fontId="4" numFmtId="0" xfId="0" applyAlignment="1" applyFont="1">
      <alignment horizontal="center" shrinkToFit="0" vertical="bottom" wrapText="1"/>
    </xf>
    <xf borderId="0" fillId="0" fontId="6" numFmtId="0" xfId="0" applyAlignment="1" applyFont="1">
      <alignment shrinkToFit="0" vertical="bottom" wrapText="1"/>
    </xf>
    <xf borderId="0" fillId="0" fontId="5" numFmtId="0" xfId="0" applyAlignment="1" applyFont="1">
      <alignment horizontal="center" shrinkToFit="0" vertical="bottom" wrapText="1"/>
    </xf>
    <xf borderId="0" fillId="0" fontId="6" numFmtId="0" xfId="0" applyAlignment="1" applyFont="1">
      <alignment shrinkToFit="0" vertical="bottom" wrapText="1"/>
    </xf>
    <xf borderId="0" fillId="0" fontId="6" numFmtId="164" xfId="0" applyAlignment="1" applyFont="1" applyNumberFormat="1">
      <alignment horizontal="center" shrinkToFit="0" vertical="bottom" wrapText="1"/>
    </xf>
    <xf borderId="0" fillId="0" fontId="1" numFmtId="164" xfId="0" applyAlignment="1" applyFont="1" applyNumberFormat="1">
      <alignment vertical="bottom"/>
    </xf>
    <xf borderId="0" fillId="0" fontId="7" numFmtId="0" xfId="0" applyAlignment="1" applyFont="1">
      <alignment shrinkToFit="0" vertical="bottom" wrapText="1"/>
    </xf>
    <xf borderId="0" fillId="0" fontId="1" numFmtId="0" xfId="0" applyAlignment="1" applyFont="1">
      <alignment shrinkToFit="0" vertical="bottom" wrapText="1"/>
    </xf>
    <xf borderId="0" fillId="0" fontId="3" numFmtId="0" xfId="0" applyAlignment="1" applyFont="1">
      <alignment horizontal="left" shrinkToFit="0" vertical="bottom" wrapText="1"/>
    </xf>
    <xf borderId="0" fillId="0" fontId="1" numFmtId="0" xfId="0" applyAlignment="1" applyFont="1">
      <alignment horizontal="center" readingOrder="0" vertical="bottom"/>
    </xf>
    <xf borderId="0" fillId="0" fontId="1" numFmtId="0" xfId="0" applyAlignment="1" applyFont="1">
      <alignment shrinkToFit="0" vertical="bottom" wrapText="1"/>
    </xf>
    <xf borderId="0" fillId="0" fontId="3" numFmtId="0" xfId="0" applyAlignment="1" applyFont="1">
      <alignment shrinkToFit="0" vertical="bottom" wrapText="1"/>
    </xf>
    <xf borderId="0" fillId="0" fontId="8" numFmtId="0" xfId="0" applyAlignment="1" applyFont="1">
      <alignment horizontal="center" shrinkToFit="0" vertical="bottom" wrapText="1"/>
    </xf>
    <xf borderId="0" fillId="0" fontId="6" numFmtId="0" xfId="0" applyAlignment="1" applyFont="1">
      <alignment horizontal="center" readingOrder="0" vertical="bottom"/>
    </xf>
    <xf borderId="0" fillId="0" fontId="6" numFmtId="0" xfId="0" applyAlignment="1" applyFont="1">
      <alignment horizontal="center" vertical="bottom"/>
    </xf>
    <xf borderId="0" fillId="0" fontId="1" numFmtId="0" xfId="0" applyAlignment="1" applyFont="1">
      <alignment vertical="bottom"/>
    </xf>
    <xf borderId="0" fillId="0" fontId="1" numFmtId="0" xfId="0" applyAlignment="1" applyFont="1">
      <alignment vertical="bottom"/>
    </xf>
    <xf borderId="0" fillId="0" fontId="6" numFmtId="0" xfId="0" applyAlignment="1" applyFont="1">
      <alignment horizontal="center" vertical="bottom"/>
    </xf>
    <xf borderId="0" fillId="0" fontId="4" numFmtId="164" xfId="0" applyAlignment="1" applyFont="1" applyNumberFormat="1">
      <alignment shrinkToFit="0" vertical="bottom" wrapText="1"/>
    </xf>
    <xf borderId="0" fillId="0" fontId="4" numFmtId="0" xfId="0" applyAlignment="1" applyFont="1">
      <alignment readingOrder="0" shrinkToFit="0" vertical="bottom" wrapText="1"/>
    </xf>
    <xf borderId="0" fillId="0" fontId="5" numFmtId="0" xfId="0" applyAlignment="1" applyFont="1">
      <alignment horizontal="center" vertical="bottom"/>
    </xf>
    <xf borderId="0" fillId="0" fontId="5" numFmtId="0" xfId="0" applyAlignment="1" applyFont="1">
      <alignment horizontal="center" readingOrder="0" vertical="bottom"/>
    </xf>
    <xf borderId="0" fillId="0" fontId="5" numFmtId="0" xfId="0" applyAlignment="1" applyFont="1">
      <alignment horizontal="center" vertical="bottom"/>
    </xf>
    <xf borderId="0" fillId="0" fontId="9" numFmtId="0" xfId="0" applyAlignment="1" applyFont="1">
      <alignment horizontal="center" vertical="bottom"/>
    </xf>
    <xf borderId="0" fillId="0" fontId="9" numFmtId="0" xfId="0" applyAlignment="1" applyFont="1">
      <alignment horizontal="center" vertical="bottom"/>
    </xf>
    <xf borderId="0" fillId="0" fontId="6" numFmtId="165" xfId="0" applyAlignment="1" applyFont="1" applyNumberFormat="1">
      <alignment horizontal="center" shrinkToFit="0" vertical="bottom" wrapText="1"/>
    </xf>
    <xf borderId="0" fillId="0" fontId="4" numFmtId="0" xfId="0" applyAlignment="1" applyFont="1">
      <alignment horizontal="center" vertical="bottom"/>
    </xf>
    <xf borderId="0" fillId="0" fontId="6" numFmtId="164" xfId="0" applyAlignment="1" applyFont="1" applyNumberFormat="1">
      <alignment horizontal="center" vertical="bottom"/>
    </xf>
    <xf borderId="0" fillId="0" fontId="10" numFmtId="0" xfId="0" applyAlignment="1" applyFont="1">
      <alignment horizontal="center" vertical="bottom"/>
    </xf>
    <xf borderId="0" fillId="0" fontId="10" numFmtId="0" xfId="0" applyAlignment="1" applyFont="1">
      <alignment horizontal="center" shrinkToFit="0" vertical="bottom" wrapText="1"/>
    </xf>
    <xf borderId="0" fillId="0" fontId="10" numFmtId="0" xfId="0" applyAlignment="1" applyFont="1">
      <alignment horizontal="center" vertical="bottom"/>
    </xf>
    <xf borderId="0" fillId="0" fontId="10" numFmtId="0" xfId="0" applyAlignment="1" applyFont="1">
      <alignment horizontal="center" shrinkToFit="0" vertical="bottom" wrapText="1"/>
    </xf>
    <xf borderId="0" fillId="0" fontId="9" numFmtId="0" xfId="0" applyAlignment="1" applyFont="1">
      <alignment horizontal="center" readingOrder="0" vertical="bottom"/>
    </xf>
    <xf borderId="0" fillId="0" fontId="11" numFmtId="0" xfId="0" applyAlignment="1" applyFont="1">
      <alignment horizontal="center" vertical="bottom"/>
    </xf>
    <xf borderId="0" fillId="0" fontId="11" numFmtId="0" xfId="0" applyAlignment="1" applyFont="1">
      <alignment horizontal="center" vertical="bottom"/>
    </xf>
    <xf borderId="0" fillId="0" fontId="1" numFmtId="165" xfId="0" applyAlignment="1" applyFont="1" applyNumberFormat="1">
      <alignment vertical="bottom"/>
    </xf>
    <xf borderId="0" fillId="0" fontId="11" numFmtId="0" xfId="0" applyAlignment="1" applyFont="1">
      <alignment horizontal="center" readingOrder="0" vertical="bottom"/>
    </xf>
    <xf quotePrefix="1" borderId="0" fillId="0" fontId="6" numFmtId="0" xfId="0" applyAlignment="1" applyFont="1">
      <alignment shrinkToFit="0" vertical="bottom" wrapText="1"/>
    </xf>
    <xf borderId="0" fillId="0" fontId="12" numFmtId="0" xfId="0" applyAlignment="1" applyFont="1">
      <alignment horizontal="center" vertical="bottom"/>
    </xf>
    <xf borderId="0" fillId="0" fontId="6" numFmtId="0" xfId="0" applyAlignment="1" applyFont="1">
      <alignment horizontal="right" shrinkToFit="0" vertical="bottom" wrapText="1"/>
    </xf>
    <xf borderId="0" fillId="0" fontId="6" numFmtId="0" xfId="0" applyAlignment="1" applyFont="1">
      <alignment vertical="bottom"/>
    </xf>
    <xf borderId="0" fillId="0" fontId="1" numFmtId="0" xfId="0" applyAlignment="1" applyFont="1">
      <alignment readingOrder="0" vertical="bottom"/>
    </xf>
    <xf borderId="0" fillId="0" fontId="12" numFmtId="0" xfId="0" applyAlignment="1" applyFont="1">
      <alignment horizontal="center" readingOrder="0" vertical="bottom"/>
    </xf>
    <xf borderId="0" fillId="0" fontId="1" numFmtId="0" xfId="0" applyAlignment="1" applyFont="1">
      <alignment horizontal="center" readingOrder="0" shrinkToFit="0" vertical="bottom" wrapText="1"/>
    </xf>
    <xf borderId="0" fillId="0" fontId="4" numFmtId="0" xfId="0" applyAlignment="1" applyFont="1">
      <alignment horizontal="center" readingOrder="0" vertical="bottom"/>
    </xf>
    <xf borderId="0" fillId="0" fontId="4" numFmtId="0" xfId="0" applyAlignment="1" applyFont="1">
      <alignment horizontal="center" shrinkToFit="0" vertical="bottom" wrapText="1"/>
    </xf>
    <xf borderId="0" fillId="0" fontId="13" numFmtId="0" xfId="0" applyAlignment="1" applyFont="1">
      <alignment readingOrder="0" shrinkToFit="0" wrapText="1"/>
    </xf>
    <xf borderId="0" fillId="0" fontId="4" numFmtId="0" xfId="0" applyAlignment="1" applyFont="1">
      <alignment horizontal="center" readingOrder="0" shrinkToFit="0" vertical="bottom"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a:lstStyle/>
          <a:p>
            <a:pPr>
              <a:defRPr sz="1400" b="0"/>
            </a:pPr>
            <a:r>
              <a:rPr lang="en-US" sz="1400" b="0"/>
              <a:t>Average workload by area</a:t>
            </a:r>
          </a:p>
        </c:rich>
      </c:tx>
      <c:overlay val="0"/>
    </c:title>
    <c:autoTitleDeleted val="0"/>
    <c:plotArea>
      <c:layout/>
      <c:barChart>
        <c:barDir val="col"/>
        <c:grouping val="clustered"/>
        <c:varyColors val="0"/>
        <c:ser>
          <c:idx val="0"/>
          <c:order val="0"/>
          <c:tx>
            <c:strRef>
              <c:f>Summary!$D$1</c:f>
              <c:strCache>
                <c:ptCount val="1"/>
                <c:pt idx="0">
                  <c:v>Average workload</c:v>
                </c:pt>
              </c:strCache>
            </c:strRef>
          </c:tx>
          <c:invertIfNegative val="0"/>
          <c:cat>
            <c:strRef>
              <c:f>Summary!$A$2:$A$5</c:f>
              <c:strCache>
                <c:ptCount val="4"/>
                <c:pt idx="0">
                  <c:v>CCCH</c:v>
                </c:pt>
                <c:pt idx="1">
                  <c:v>CCGL</c:v>
                </c:pt>
                <c:pt idx="2">
                  <c:v>CCHU</c:v>
                </c:pt>
                <c:pt idx="3">
                  <c:v>CCST</c:v>
                </c:pt>
              </c:strCache>
            </c:strRef>
          </c:cat>
          <c:val>
            <c:numRef>
              <c:f>Summary!$D$2:$D$5</c:f>
              <c:numCache>
                <c:formatCode>General</c:formatCode>
                <c:ptCount val="4"/>
                <c:pt idx="0">
                  <c:v>4.077777777777778</c:v>
                </c:pt>
                <c:pt idx="1">
                  <c:v>4.271428571428571</c:v>
                </c:pt>
                <c:pt idx="2">
                  <c:v>5.2</c:v>
                </c:pt>
                <c:pt idx="3">
                  <c:v>6.300000000000001</c:v>
                </c:pt>
              </c:numCache>
            </c:numRef>
          </c:val>
        </c:ser>
        <c:gapWidth val="150"/>
        <c:axId val="500000001"/>
        <c:axId val="500000002"/>
      </c:barChart>
      <c:catAx>
        <c:axId val="500000001"/>
        <c:scaling>
          <c:orientation val="minMax"/>
        </c:scaling>
        <c:delete val="0"/>
        <c:axPos val="b"/>
        <c:numFmt formatCode="General" sourceLinked="1"/>
        <c:majorTickMark val="none"/>
        <c:minorTickMark val="none"/>
        <c:tickLblPos val="nextTo"/>
        <c:crossAx val="500000002"/>
        <c:crosses val="autoZero"/>
        <c:auto val="1"/>
        <c:lblAlgn val="ctr"/>
        <c:lblOffset val="100"/>
        <c:noMultiLvlLbl val="0"/>
      </c:catAx>
      <c:valAx>
        <c:axId val="500000002"/>
        <c:scaling>
          <c:orientation val="minMax"/>
        </c:scaling>
        <c:delete val="0"/>
        <c:axPos val="l"/>
        <c:majorGridlines/>
        <c:numFmt formatCode="General" sourceLinked="1"/>
        <c:majorTickMark val="none"/>
        <c:minorTickMark val="none"/>
        <c:tickLblPos val="nextTo"/>
        <c:crossAx val="500000001"/>
        <c:crosses val="autoZero"/>
        <c:crossBetween val="between"/>
      </c:valAx>
    </c:plotArea>
    <c:plotVisOnly val="1"/>
    <c:dispBlanksAs val="gap"/>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dr:twoCellAnchor>
    <xdr:from>
      <xdr:col>5</xdr:col>
      <xdr:colOff>0</xdr:colOff>
      <xdr:row>1</xdr:row>
      <xdr:rowOff>0</xdr:rowOff>
    </xdr:from>
    <xdr:to>
      <xdr:col>13</xdr:col>
      <xdr:colOff>0</xdr:colOff>
      <xdr:row>18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3.m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rts.hku.hk/current-students/undergraduate/BA/majors-minors" TargetMode="External"/><Relationship Id="rId2" Type="http://schemas.openxmlformats.org/officeDocument/2006/relationships/hyperlink" Target="https://www.fbe.hku.hk/ug/programme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3.75"/>
    <col customWidth="1" min="2" max="2" width="37.88"/>
    <col customWidth="1" min="3" max="3" width="8.38"/>
    <col customWidth="1" min="4" max="5" width="15.88"/>
    <col customWidth="1" min="6" max="6" width="20.5"/>
    <col customWidth="1" min="7" max="7" width="17.5"/>
    <col customWidth="1" min="8" max="8" width="23.75"/>
    <col customWidth="1" min="9" max="9" width="35.38"/>
    <col customWidth="1" min="10" max="10" width="15.0"/>
    <col customWidth="1" min="13" max="14" width="21.88"/>
    <col customWidth="1" min="15" max="15" width="31.13"/>
    <col customWidth="1" min="16" max="16" width="27.0"/>
  </cols>
  <sheetData>
    <row r="1" ht="30.75" customHeight="1">
      <c r="A1" s="1"/>
      <c r="B1" s="1"/>
      <c r="C1" s="1"/>
      <c r="D1" s="2"/>
      <c r="E1" s="2" t="s">
        <v>0</v>
      </c>
      <c r="I1" s="5" t="s">
        <v>2</v>
      </c>
      <c r="M1" s="3" t="s">
        <v>1</v>
      </c>
      <c r="Q1" s="7"/>
      <c r="R1" s="7"/>
      <c r="S1" s="7"/>
      <c r="T1" s="7"/>
      <c r="U1" s="7"/>
      <c r="V1" s="7"/>
      <c r="W1" s="7"/>
      <c r="X1" s="7"/>
      <c r="Y1" s="7"/>
      <c r="Z1" s="7"/>
      <c r="AA1" s="7"/>
      <c r="AB1" s="7"/>
      <c r="AC1" s="7"/>
      <c r="AD1" s="7"/>
      <c r="AE1" s="7"/>
    </row>
    <row r="2" ht="30.75" customHeight="1">
      <c r="A2" s="10" t="s">
        <v>5</v>
      </c>
      <c r="B2" s="11" t="s">
        <v>8</v>
      </c>
      <c r="C2" s="11" t="s">
        <v>10</v>
      </c>
      <c r="D2" s="13" t="s">
        <v>11</v>
      </c>
      <c r="E2" s="9" t="s">
        <v>13</v>
      </c>
      <c r="F2" s="9" t="s">
        <v>14</v>
      </c>
      <c r="G2" s="9" t="s">
        <v>15</v>
      </c>
      <c r="H2" s="9" t="s">
        <v>16</v>
      </c>
      <c r="I2" s="9" t="s">
        <v>17</v>
      </c>
      <c r="J2" s="9" t="s">
        <v>19</v>
      </c>
      <c r="K2" s="9" t="s">
        <v>20</v>
      </c>
      <c r="L2" s="9" t="s">
        <v>21</v>
      </c>
      <c r="M2" s="9" t="s">
        <v>22</v>
      </c>
      <c r="N2" s="9" t="s">
        <v>23</v>
      </c>
      <c r="O2" s="9" t="s">
        <v>6</v>
      </c>
      <c r="P2" s="9" t="s">
        <v>25</v>
      </c>
      <c r="Q2" s="17"/>
      <c r="R2" s="7"/>
      <c r="S2" s="7"/>
      <c r="T2" s="7"/>
      <c r="U2" s="7"/>
      <c r="V2" s="7"/>
      <c r="W2" s="7"/>
      <c r="X2" s="7"/>
      <c r="Y2" s="7"/>
      <c r="Z2" s="7"/>
      <c r="AA2" s="7"/>
      <c r="AB2" s="7"/>
      <c r="AC2" s="7"/>
      <c r="AD2" s="7"/>
      <c r="AE2" s="7"/>
    </row>
    <row r="3">
      <c r="A3" s="19" t="s">
        <v>29</v>
      </c>
      <c r="B3" s="20" t="s">
        <v>30</v>
      </c>
      <c r="C3" s="21" t="s">
        <v>33</v>
      </c>
      <c r="D3" s="21" t="s">
        <v>35</v>
      </c>
      <c r="E3" s="22"/>
      <c r="F3" s="23"/>
      <c r="G3" s="22"/>
      <c r="H3" s="22"/>
      <c r="I3" s="21" t="s">
        <v>37</v>
      </c>
      <c r="J3" s="22"/>
      <c r="K3" s="22"/>
      <c r="L3" s="22"/>
      <c r="M3" s="24"/>
      <c r="N3" s="25"/>
      <c r="O3" s="16"/>
      <c r="P3" s="17"/>
      <c r="Q3" s="7"/>
      <c r="R3" s="7"/>
      <c r="S3" s="7"/>
      <c r="T3" s="7"/>
      <c r="U3" s="7"/>
      <c r="V3" s="7"/>
      <c r="W3" s="7"/>
      <c r="X3" s="7"/>
      <c r="Y3" s="7"/>
      <c r="Z3" s="7"/>
      <c r="AA3" s="7"/>
      <c r="AB3" s="7"/>
      <c r="AC3" s="7"/>
      <c r="AD3" s="7"/>
      <c r="AE3" s="7"/>
    </row>
    <row r="4">
      <c r="A4" s="19" t="s">
        <v>43</v>
      </c>
      <c r="B4" s="20" t="s">
        <v>44</v>
      </c>
      <c r="C4" s="21">
        <v>1.0</v>
      </c>
      <c r="D4" s="21" t="s">
        <v>45</v>
      </c>
      <c r="E4" s="22"/>
      <c r="F4" s="23"/>
      <c r="G4" s="22"/>
      <c r="H4" s="22"/>
      <c r="I4" s="21" t="s">
        <v>46</v>
      </c>
      <c r="J4" s="22"/>
      <c r="K4" s="22"/>
      <c r="L4" s="22"/>
      <c r="M4" s="24"/>
      <c r="N4" s="25"/>
      <c r="O4" s="16"/>
      <c r="P4" s="17"/>
      <c r="Q4" s="7"/>
      <c r="R4" s="7"/>
      <c r="S4" s="7"/>
      <c r="T4" s="7"/>
      <c r="U4" s="7"/>
      <c r="V4" s="7"/>
      <c r="W4" s="7"/>
      <c r="X4" s="7"/>
      <c r="Y4" s="7"/>
      <c r="Z4" s="7"/>
      <c r="AA4" s="7"/>
      <c r="AB4" s="7"/>
      <c r="AC4" s="7"/>
      <c r="AD4" s="7"/>
      <c r="AE4" s="7"/>
    </row>
    <row r="5">
      <c r="A5" s="26" t="s">
        <v>49</v>
      </c>
      <c r="B5" s="20" t="s">
        <v>51</v>
      </c>
      <c r="C5" s="22">
        <v>2.0</v>
      </c>
      <c r="D5" s="21" t="s">
        <v>52</v>
      </c>
      <c r="E5" s="22" t="s">
        <v>53</v>
      </c>
      <c r="F5" s="23" t="s">
        <v>54</v>
      </c>
      <c r="G5" s="22" t="s">
        <v>55</v>
      </c>
      <c r="H5" s="22">
        <v>2.0</v>
      </c>
      <c r="I5" s="23" t="s">
        <v>56</v>
      </c>
      <c r="J5" s="22" t="s">
        <v>54</v>
      </c>
      <c r="K5" s="22" t="s">
        <v>57</v>
      </c>
      <c r="L5" s="22" t="s">
        <v>57</v>
      </c>
      <c r="M5" s="24" t="s">
        <v>58</v>
      </c>
      <c r="N5" s="25" t="s">
        <v>59</v>
      </c>
      <c r="O5" s="16" t="s">
        <v>61</v>
      </c>
      <c r="P5" s="17"/>
      <c r="Q5" s="7"/>
      <c r="R5" s="7"/>
      <c r="S5" s="7"/>
      <c r="T5" s="7"/>
      <c r="U5" s="7"/>
      <c r="V5" s="7"/>
      <c r="W5" s="7"/>
      <c r="X5" s="7"/>
      <c r="Y5" s="7"/>
      <c r="Z5" s="7"/>
      <c r="AA5" s="7"/>
      <c r="AB5" s="7"/>
      <c r="AC5" s="7"/>
      <c r="AD5" s="7"/>
      <c r="AE5" s="7"/>
    </row>
    <row r="6">
      <c r="A6" s="26" t="s">
        <v>64</v>
      </c>
      <c r="B6" s="29" t="s">
        <v>65</v>
      </c>
      <c r="C6" s="22">
        <v>2.0</v>
      </c>
      <c r="D6" s="21" t="s">
        <v>45</v>
      </c>
      <c r="E6" s="22" t="s">
        <v>53</v>
      </c>
      <c r="F6" s="22"/>
      <c r="G6" s="22"/>
      <c r="H6" s="22">
        <v>8.0</v>
      </c>
      <c r="I6" s="23" t="s">
        <v>66</v>
      </c>
      <c r="J6" s="22"/>
      <c r="K6" s="22"/>
      <c r="L6" s="22" t="s">
        <v>57</v>
      </c>
      <c r="M6" s="24" t="s">
        <v>67</v>
      </c>
      <c r="N6" s="7"/>
      <c r="O6" s="7"/>
      <c r="P6" s="24" t="s">
        <v>68</v>
      </c>
      <c r="Q6" s="7"/>
      <c r="R6" s="7"/>
      <c r="S6" s="7"/>
      <c r="T6" s="7"/>
      <c r="U6" s="7"/>
      <c r="V6" s="7"/>
      <c r="W6" s="7"/>
      <c r="X6" s="7"/>
      <c r="Y6" s="7"/>
      <c r="Z6" s="7"/>
      <c r="AA6" s="7"/>
      <c r="AB6" s="7"/>
      <c r="AC6" s="7"/>
      <c r="AD6" s="7"/>
      <c r="AE6" s="7"/>
    </row>
    <row r="7">
      <c r="A7" s="30" t="s">
        <v>69</v>
      </c>
      <c r="B7" s="31" t="s">
        <v>70</v>
      </c>
      <c r="C7" s="23">
        <v>1.0</v>
      </c>
      <c r="D7" s="21" t="s">
        <v>71</v>
      </c>
      <c r="E7" s="22"/>
      <c r="F7" s="22"/>
      <c r="G7" s="22"/>
      <c r="H7" s="23">
        <v>3.0</v>
      </c>
      <c r="I7" s="23" t="s">
        <v>72</v>
      </c>
      <c r="J7" s="22"/>
      <c r="K7" s="22"/>
      <c r="L7" s="22" t="s">
        <v>57</v>
      </c>
      <c r="M7" s="32" t="s">
        <v>73</v>
      </c>
      <c r="N7" s="33"/>
      <c r="O7" s="33"/>
      <c r="P7" s="32" t="s">
        <v>74</v>
      </c>
      <c r="Q7" s="7"/>
      <c r="R7" s="7"/>
      <c r="S7" s="7"/>
      <c r="T7" s="7"/>
      <c r="U7" s="7"/>
      <c r="V7" s="7"/>
      <c r="W7" s="7"/>
      <c r="X7" s="7"/>
      <c r="Y7" s="7"/>
      <c r="Z7" s="7"/>
      <c r="AA7" s="7"/>
      <c r="AB7" s="7"/>
      <c r="AC7" s="7"/>
      <c r="AD7" s="7"/>
      <c r="AE7" s="7"/>
    </row>
    <row r="8">
      <c r="A8" s="26" t="s">
        <v>75</v>
      </c>
      <c r="B8" s="31" t="s">
        <v>76</v>
      </c>
      <c r="C8" s="22">
        <v>1.0</v>
      </c>
      <c r="D8" s="21" t="s">
        <v>77</v>
      </c>
      <c r="E8" s="7"/>
      <c r="F8" s="7"/>
      <c r="G8" s="7"/>
      <c r="H8" s="7"/>
      <c r="I8" s="22"/>
      <c r="J8" s="17"/>
      <c r="K8" s="17"/>
      <c r="L8" s="7"/>
      <c r="M8" s="17"/>
      <c r="N8" s="17"/>
      <c r="O8" s="17"/>
      <c r="P8" s="17"/>
      <c r="Q8" s="7"/>
      <c r="R8" s="7"/>
      <c r="S8" s="7"/>
      <c r="T8" s="7"/>
      <c r="U8" s="7"/>
      <c r="V8" s="7"/>
      <c r="W8" s="7"/>
      <c r="X8" s="7"/>
      <c r="Y8" s="7"/>
      <c r="Z8" s="7"/>
      <c r="AA8" s="7"/>
      <c r="AB8" s="7"/>
      <c r="AC8" s="7"/>
      <c r="AD8" s="7"/>
      <c r="AE8" s="7"/>
    </row>
    <row r="9">
      <c r="A9" s="26" t="s">
        <v>79</v>
      </c>
      <c r="B9" s="29" t="s">
        <v>81</v>
      </c>
      <c r="C9" s="22" t="s">
        <v>33</v>
      </c>
      <c r="D9" s="21" t="s">
        <v>82</v>
      </c>
      <c r="E9" s="22"/>
      <c r="F9" s="23"/>
      <c r="G9" s="23"/>
      <c r="H9" s="23"/>
      <c r="I9" s="23" t="s">
        <v>83</v>
      </c>
      <c r="J9" s="22"/>
      <c r="K9" s="22"/>
      <c r="L9" s="22" t="s">
        <v>57</v>
      </c>
      <c r="M9" s="33"/>
      <c r="N9" s="33"/>
      <c r="O9" s="33"/>
      <c r="P9" s="33"/>
      <c r="Q9" s="7"/>
      <c r="R9" s="7"/>
      <c r="S9" s="7"/>
      <c r="T9" s="7"/>
      <c r="U9" s="7"/>
      <c r="V9" s="7"/>
      <c r="W9" s="7"/>
      <c r="X9" s="7"/>
      <c r="Y9" s="7"/>
      <c r="Z9" s="7"/>
      <c r="AA9" s="7"/>
      <c r="AB9" s="7"/>
      <c r="AC9" s="7"/>
      <c r="AD9" s="7"/>
      <c r="AE9" s="7"/>
    </row>
    <row r="10">
      <c r="A10" s="26" t="s">
        <v>87</v>
      </c>
      <c r="B10" s="16" t="s">
        <v>88</v>
      </c>
      <c r="C10" s="22">
        <v>1.0</v>
      </c>
      <c r="D10" s="21" t="s">
        <v>89</v>
      </c>
      <c r="E10" s="22"/>
      <c r="F10" s="23"/>
      <c r="G10" s="23"/>
      <c r="H10" s="23"/>
      <c r="I10" s="23" t="s">
        <v>90</v>
      </c>
      <c r="J10" s="23" t="s">
        <v>57</v>
      </c>
      <c r="K10" s="23" t="s">
        <v>57</v>
      </c>
      <c r="L10" s="22" t="s">
        <v>91</v>
      </c>
      <c r="M10" s="23" t="s">
        <v>92</v>
      </c>
      <c r="N10" s="23" t="s">
        <v>93</v>
      </c>
      <c r="O10" s="23" t="s">
        <v>94</v>
      </c>
      <c r="P10" s="23" t="s">
        <v>95</v>
      </c>
      <c r="Q10" s="7"/>
      <c r="R10" s="7"/>
      <c r="S10" s="7"/>
      <c r="T10" s="7"/>
      <c r="U10" s="7"/>
      <c r="V10" s="7"/>
      <c r="W10" s="7"/>
      <c r="X10" s="7"/>
      <c r="Y10" s="7"/>
      <c r="Z10" s="7"/>
      <c r="AA10" s="7"/>
      <c r="AB10" s="7"/>
      <c r="AC10" s="7"/>
      <c r="AD10" s="7"/>
      <c r="AE10" s="7"/>
    </row>
    <row r="11">
      <c r="A11" s="26" t="s">
        <v>96</v>
      </c>
      <c r="B11" s="29" t="s">
        <v>97</v>
      </c>
      <c r="C11" s="22">
        <v>2.0</v>
      </c>
      <c r="D11" s="21" t="s">
        <v>98</v>
      </c>
      <c r="E11" s="22"/>
      <c r="F11" s="23">
        <v>1.0</v>
      </c>
      <c r="G11" s="23" t="s">
        <v>99</v>
      </c>
      <c r="H11" s="23" t="s">
        <v>100</v>
      </c>
      <c r="I11" s="23" t="s">
        <v>101</v>
      </c>
      <c r="J11" s="23"/>
      <c r="K11" s="23"/>
      <c r="L11" s="22" t="s">
        <v>57</v>
      </c>
      <c r="M11" s="21" t="s">
        <v>102</v>
      </c>
      <c r="N11" s="23"/>
      <c r="O11" s="23" t="s">
        <v>103</v>
      </c>
      <c r="P11" s="23" t="s">
        <v>104</v>
      </c>
      <c r="Q11" s="7"/>
      <c r="R11" s="7"/>
      <c r="S11" s="7"/>
      <c r="T11" s="7"/>
      <c r="U11" s="7"/>
      <c r="V11" s="7"/>
      <c r="W11" s="7"/>
      <c r="X11" s="7"/>
      <c r="Y11" s="7"/>
      <c r="Z11" s="7"/>
      <c r="AA11" s="7"/>
      <c r="AB11" s="7"/>
      <c r="AC11" s="7"/>
      <c r="AD11" s="7"/>
      <c r="AE11" s="7"/>
    </row>
    <row r="12">
      <c r="A12" s="26" t="s">
        <v>106</v>
      </c>
      <c r="B12" s="29" t="s">
        <v>107</v>
      </c>
      <c r="C12" s="22">
        <v>2.0</v>
      </c>
      <c r="D12" s="21" t="s">
        <v>98</v>
      </c>
      <c r="E12" s="22" t="s">
        <v>53</v>
      </c>
      <c r="F12" s="23">
        <v>0.0</v>
      </c>
      <c r="G12" s="23" t="s">
        <v>108</v>
      </c>
      <c r="H12" s="23">
        <v>4.0</v>
      </c>
      <c r="I12" s="23" t="s">
        <v>109</v>
      </c>
      <c r="J12" s="23">
        <v>1.0</v>
      </c>
      <c r="K12" s="23" t="s">
        <v>57</v>
      </c>
      <c r="L12" s="22" t="s">
        <v>91</v>
      </c>
      <c r="M12" s="23" t="s">
        <v>111</v>
      </c>
      <c r="N12" s="23"/>
      <c r="O12" s="23"/>
      <c r="P12" s="23" t="s">
        <v>112</v>
      </c>
      <c r="Q12" s="7"/>
      <c r="R12" s="7"/>
      <c r="S12" s="7"/>
      <c r="T12" s="7"/>
      <c r="U12" s="7"/>
      <c r="V12" s="7"/>
      <c r="W12" s="7"/>
      <c r="X12" s="7"/>
      <c r="Y12" s="7"/>
      <c r="Z12" s="7"/>
      <c r="AA12" s="7"/>
      <c r="AB12" s="7"/>
      <c r="AC12" s="7"/>
      <c r="AD12" s="7"/>
      <c r="AE12" s="7"/>
    </row>
    <row r="13">
      <c r="A13" s="26" t="s">
        <v>114</v>
      </c>
      <c r="B13" s="29" t="s">
        <v>115</v>
      </c>
      <c r="C13" s="22">
        <v>1.0</v>
      </c>
      <c r="D13" s="21" t="s">
        <v>116</v>
      </c>
      <c r="E13" s="22" t="s">
        <v>53</v>
      </c>
      <c r="F13" s="23" t="s">
        <v>54</v>
      </c>
      <c r="G13" s="23" t="s">
        <v>118</v>
      </c>
      <c r="H13" s="23" t="s">
        <v>119</v>
      </c>
      <c r="I13" s="23" t="s">
        <v>120</v>
      </c>
      <c r="J13" s="23">
        <v>2.0</v>
      </c>
      <c r="K13" s="23" t="s">
        <v>53</v>
      </c>
      <c r="L13" s="22" t="s">
        <v>57</v>
      </c>
      <c r="M13" s="23" t="s">
        <v>124</v>
      </c>
      <c r="N13" s="23" t="s">
        <v>125</v>
      </c>
      <c r="O13" s="23" t="s">
        <v>127</v>
      </c>
      <c r="P13" s="23" t="s">
        <v>128</v>
      </c>
      <c r="Q13" s="7"/>
      <c r="R13" s="7"/>
      <c r="S13" s="7"/>
      <c r="T13" s="7"/>
      <c r="U13" s="7"/>
      <c r="V13" s="7"/>
      <c r="W13" s="7"/>
      <c r="X13" s="7"/>
      <c r="Y13" s="7"/>
      <c r="Z13" s="7"/>
      <c r="AA13" s="7"/>
      <c r="AB13" s="7"/>
      <c r="AC13" s="7"/>
      <c r="AD13" s="7"/>
      <c r="AE13" s="7"/>
    </row>
    <row r="14">
      <c r="A14" s="26" t="s">
        <v>131</v>
      </c>
      <c r="B14" s="29" t="s">
        <v>132</v>
      </c>
      <c r="C14" s="21">
        <v>2.0</v>
      </c>
      <c r="D14" s="21" t="s">
        <v>116</v>
      </c>
      <c r="E14" s="22" t="s">
        <v>53</v>
      </c>
      <c r="F14" s="23">
        <v>2.0</v>
      </c>
      <c r="G14" s="23" t="s">
        <v>134</v>
      </c>
      <c r="H14" s="23" t="s">
        <v>135</v>
      </c>
      <c r="I14" s="23" t="s">
        <v>136</v>
      </c>
      <c r="J14" s="23">
        <v>3.0</v>
      </c>
      <c r="K14" s="23" t="s">
        <v>57</v>
      </c>
      <c r="L14" s="22" t="s">
        <v>57</v>
      </c>
      <c r="M14" s="23" t="s">
        <v>138</v>
      </c>
      <c r="N14" s="23" t="s">
        <v>54</v>
      </c>
      <c r="O14" s="23" t="s">
        <v>139</v>
      </c>
      <c r="P14" s="23" t="s">
        <v>140</v>
      </c>
      <c r="Q14" s="7"/>
      <c r="R14" s="7"/>
      <c r="S14" s="7"/>
      <c r="T14" s="7"/>
      <c r="U14" s="7"/>
      <c r="V14" s="7"/>
      <c r="W14" s="7"/>
      <c r="X14" s="7"/>
      <c r="Y14" s="7"/>
      <c r="Z14" s="7"/>
      <c r="AA14" s="7"/>
      <c r="AB14" s="7"/>
      <c r="AC14" s="7"/>
      <c r="AD14" s="7"/>
      <c r="AE14" s="7"/>
    </row>
    <row r="15">
      <c r="A15" s="26" t="s">
        <v>142</v>
      </c>
      <c r="B15" s="29" t="s">
        <v>143</v>
      </c>
      <c r="C15" s="21">
        <v>1.0</v>
      </c>
      <c r="D15" s="21" t="s">
        <v>116</v>
      </c>
      <c r="E15" s="22"/>
      <c r="F15" s="22"/>
      <c r="G15" s="22"/>
      <c r="H15" s="22"/>
      <c r="I15" s="22" t="s">
        <v>145</v>
      </c>
      <c r="J15" s="22"/>
      <c r="K15" s="22"/>
      <c r="L15" s="22" t="s">
        <v>57</v>
      </c>
      <c r="M15" s="7"/>
      <c r="N15" s="7"/>
      <c r="O15" s="7"/>
      <c r="P15" s="7"/>
      <c r="Q15" s="7"/>
      <c r="R15" s="7"/>
      <c r="S15" s="7"/>
      <c r="T15" s="7"/>
      <c r="U15" s="7"/>
      <c r="V15" s="7"/>
      <c r="W15" s="7"/>
      <c r="X15" s="7"/>
      <c r="Y15" s="7"/>
      <c r="Z15" s="7"/>
      <c r="AA15" s="7"/>
      <c r="AB15" s="7"/>
      <c r="AC15" s="7"/>
      <c r="AD15" s="7"/>
      <c r="AE15" s="7"/>
    </row>
    <row r="16">
      <c r="A16" s="26" t="s">
        <v>147</v>
      </c>
      <c r="B16" s="29" t="s">
        <v>148</v>
      </c>
      <c r="C16" s="22">
        <v>1.0</v>
      </c>
      <c r="D16" s="21" t="s">
        <v>149</v>
      </c>
      <c r="E16" s="22"/>
      <c r="F16" s="23"/>
      <c r="G16" s="23"/>
      <c r="H16" s="23"/>
      <c r="I16" s="23" t="s">
        <v>150</v>
      </c>
      <c r="J16" s="23"/>
      <c r="K16" s="23"/>
      <c r="L16" s="22" t="s">
        <v>151</v>
      </c>
      <c r="M16" s="17"/>
      <c r="N16" s="17"/>
      <c r="O16" s="7"/>
      <c r="P16" s="17"/>
      <c r="Q16" s="7"/>
      <c r="R16" s="7"/>
      <c r="S16" s="7"/>
      <c r="T16" s="7"/>
      <c r="U16" s="7"/>
      <c r="V16" s="7"/>
      <c r="W16" s="7"/>
      <c r="X16" s="7"/>
      <c r="Y16" s="7"/>
      <c r="Z16" s="7"/>
      <c r="AA16" s="7"/>
      <c r="AB16" s="7"/>
      <c r="AC16" s="7"/>
      <c r="AD16" s="7"/>
      <c r="AE16" s="7"/>
    </row>
    <row r="17">
      <c r="A17" s="26" t="s">
        <v>153</v>
      </c>
      <c r="B17" s="29" t="s">
        <v>154</v>
      </c>
      <c r="C17" s="21">
        <v>1.0</v>
      </c>
      <c r="D17" s="21" t="s">
        <v>155</v>
      </c>
      <c r="E17" s="22"/>
      <c r="F17" s="23"/>
      <c r="G17" s="23"/>
      <c r="H17" s="23"/>
      <c r="I17" s="23" t="s">
        <v>157</v>
      </c>
      <c r="J17" s="23"/>
      <c r="K17" s="23"/>
      <c r="L17" s="22" t="s">
        <v>57</v>
      </c>
      <c r="M17" s="21" t="s">
        <v>158</v>
      </c>
      <c r="N17" s="17"/>
      <c r="O17" s="21" t="s">
        <v>159</v>
      </c>
      <c r="P17" s="21" t="s">
        <v>160</v>
      </c>
      <c r="Q17" s="7"/>
      <c r="R17" s="7"/>
      <c r="S17" s="7"/>
      <c r="T17" s="7"/>
      <c r="U17" s="7"/>
      <c r="V17" s="7"/>
      <c r="W17" s="7"/>
      <c r="X17" s="7"/>
      <c r="Y17" s="7"/>
      <c r="Z17" s="7"/>
      <c r="AA17" s="7"/>
      <c r="AB17" s="7"/>
      <c r="AC17" s="7"/>
      <c r="AD17" s="7"/>
      <c r="AE17" s="7"/>
    </row>
    <row r="18">
      <c r="A18" s="26" t="s">
        <v>162</v>
      </c>
      <c r="B18" s="29" t="s">
        <v>163</v>
      </c>
      <c r="C18" s="22" t="s">
        <v>33</v>
      </c>
      <c r="D18" s="21" t="s">
        <v>71</v>
      </c>
      <c r="E18" s="22" t="s">
        <v>57</v>
      </c>
      <c r="F18" s="22" t="s">
        <v>57</v>
      </c>
      <c r="G18" s="23" t="s">
        <v>164</v>
      </c>
      <c r="H18" s="23">
        <v>5.0</v>
      </c>
      <c r="I18" s="23" t="s">
        <v>165</v>
      </c>
      <c r="J18" s="23">
        <v>2.0</v>
      </c>
      <c r="K18" s="22" t="s">
        <v>53</v>
      </c>
      <c r="L18" s="22" t="s">
        <v>91</v>
      </c>
      <c r="M18" s="22" t="s">
        <v>166</v>
      </c>
      <c r="N18" s="22" t="s">
        <v>168</v>
      </c>
      <c r="O18" s="7"/>
      <c r="P18" s="23" t="s">
        <v>170</v>
      </c>
      <c r="Q18" s="7"/>
      <c r="R18" s="7"/>
      <c r="S18" s="7"/>
      <c r="T18" s="7"/>
      <c r="U18" s="7"/>
      <c r="V18" s="7"/>
      <c r="W18" s="7"/>
      <c r="X18" s="7"/>
      <c r="Y18" s="7"/>
      <c r="Z18" s="7"/>
      <c r="AA18" s="7"/>
      <c r="AB18" s="7"/>
      <c r="AC18" s="7"/>
      <c r="AD18" s="7"/>
      <c r="AE18" s="7"/>
    </row>
    <row r="19">
      <c r="A19" s="26" t="s">
        <v>171</v>
      </c>
      <c r="B19" s="29" t="s">
        <v>172</v>
      </c>
      <c r="C19" s="22">
        <v>1.0</v>
      </c>
      <c r="D19" s="21" t="s">
        <v>98</v>
      </c>
      <c r="E19" s="22" t="s">
        <v>174</v>
      </c>
      <c r="F19" s="22" t="s">
        <v>57</v>
      </c>
      <c r="G19" s="23" t="s">
        <v>175</v>
      </c>
      <c r="H19" s="23">
        <v>6.0</v>
      </c>
      <c r="I19" s="23" t="s">
        <v>177</v>
      </c>
      <c r="J19" s="23" t="s">
        <v>57</v>
      </c>
      <c r="K19" s="22" t="s">
        <v>57</v>
      </c>
      <c r="L19" s="22" t="s">
        <v>57</v>
      </c>
      <c r="M19" s="21" t="s">
        <v>178</v>
      </c>
      <c r="N19" s="22" t="s">
        <v>168</v>
      </c>
      <c r="O19" s="21" t="s">
        <v>179</v>
      </c>
      <c r="P19" s="21" t="s">
        <v>180</v>
      </c>
      <c r="Q19" s="7"/>
      <c r="R19" s="7"/>
      <c r="S19" s="7"/>
      <c r="T19" s="7"/>
      <c r="U19" s="7"/>
      <c r="V19" s="7"/>
      <c r="W19" s="7"/>
      <c r="X19" s="7"/>
      <c r="Y19" s="7"/>
      <c r="Z19" s="7"/>
      <c r="AA19" s="7"/>
      <c r="AB19" s="7"/>
      <c r="AC19" s="7"/>
      <c r="AD19" s="7"/>
      <c r="AE19" s="7"/>
    </row>
    <row r="20">
      <c r="A20" s="26" t="s">
        <v>181</v>
      </c>
      <c r="B20" s="29" t="s">
        <v>182</v>
      </c>
      <c r="C20" s="22">
        <v>1.0</v>
      </c>
      <c r="D20" s="21" t="s">
        <v>98</v>
      </c>
      <c r="E20" s="22"/>
      <c r="F20" s="22">
        <v>1.0</v>
      </c>
      <c r="G20" s="23"/>
      <c r="H20" s="23">
        <v>3.0</v>
      </c>
      <c r="I20" s="23" t="s">
        <v>183</v>
      </c>
      <c r="J20" s="23" t="s">
        <v>184</v>
      </c>
      <c r="K20" s="22"/>
      <c r="L20" s="22" t="s">
        <v>53</v>
      </c>
      <c r="M20" s="7"/>
      <c r="N20" s="7"/>
      <c r="O20" s="7"/>
      <c r="P20" s="23" t="s">
        <v>185</v>
      </c>
      <c r="Q20" s="7"/>
      <c r="R20" s="7"/>
      <c r="S20" s="7"/>
      <c r="T20" s="7"/>
      <c r="U20" s="7"/>
      <c r="V20" s="7"/>
      <c r="W20" s="7"/>
      <c r="X20" s="7"/>
      <c r="Y20" s="7"/>
      <c r="Z20" s="7"/>
      <c r="AA20" s="7"/>
      <c r="AB20" s="7"/>
      <c r="AC20" s="7"/>
      <c r="AD20" s="7"/>
      <c r="AE20" s="7"/>
    </row>
    <row r="21">
      <c r="A21" s="26" t="s">
        <v>186</v>
      </c>
      <c r="B21" s="29" t="s">
        <v>187</v>
      </c>
      <c r="C21" s="22">
        <v>1.0</v>
      </c>
      <c r="D21" s="21" t="s">
        <v>50</v>
      </c>
      <c r="E21" s="22"/>
      <c r="F21" s="23"/>
      <c r="G21" s="23"/>
      <c r="H21" s="23"/>
      <c r="I21" s="23" t="s">
        <v>188</v>
      </c>
      <c r="J21" s="23"/>
      <c r="K21" s="23"/>
      <c r="L21" s="22" t="s">
        <v>91</v>
      </c>
      <c r="M21" s="17"/>
      <c r="N21" s="7"/>
      <c r="O21" s="7"/>
      <c r="P21" s="17"/>
      <c r="Q21" s="7"/>
      <c r="R21" s="7"/>
      <c r="S21" s="7"/>
      <c r="T21" s="7"/>
      <c r="U21" s="7"/>
      <c r="V21" s="7"/>
      <c r="W21" s="7"/>
      <c r="X21" s="7"/>
      <c r="Y21" s="7"/>
      <c r="Z21" s="7"/>
      <c r="AA21" s="7"/>
      <c r="AB21" s="7"/>
      <c r="AC21" s="7"/>
      <c r="AD21" s="7"/>
      <c r="AE21" s="7"/>
    </row>
    <row r="22">
      <c r="A22" s="19" t="s">
        <v>189</v>
      </c>
      <c r="B22" s="20" t="s">
        <v>190</v>
      </c>
      <c r="C22" s="21">
        <v>2.0</v>
      </c>
      <c r="D22" s="21" t="s">
        <v>191</v>
      </c>
      <c r="E22" s="21" t="s">
        <v>53</v>
      </c>
      <c r="F22" s="23"/>
      <c r="G22" s="21" t="s">
        <v>192</v>
      </c>
      <c r="H22" s="23"/>
      <c r="I22" s="21" t="s">
        <v>193</v>
      </c>
      <c r="J22" s="23"/>
      <c r="K22" s="23"/>
      <c r="L22" s="22"/>
      <c r="M22" s="17"/>
      <c r="N22" s="7"/>
      <c r="O22" s="7"/>
      <c r="P22" s="17"/>
      <c r="Q22" s="7"/>
      <c r="R22" s="7"/>
      <c r="S22" s="7"/>
      <c r="T22" s="7"/>
      <c r="U22" s="7"/>
      <c r="V22" s="7"/>
      <c r="W22" s="7"/>
      <c r="X22" s="7"/>
      <c r="Y22" s="7"/>
      <c r="Z22" s="7"/>
      <c r="AA22" s="7"/>
      <c r="AB22" s="7"/>
      <c r="AC22" s="7"/>
      <c r="AD22" s="7"/>
      <c r="AE22" s="7"/>
    </row>
    <row r="23">
      <c r="A23" s="26" t="s">
        <v>194</v>
      </c>
      <c r="B23" s="31" t="s">
        <v>195</v>
      </c>
      <c r="C23" s="22">
        <v>2.0</v>
      </c>
      <c r="D23" s="21" t="s">
        <v>50</v>
      </c>
      <c r="E23" s="21" t="s">
        <v>53</v>
      </c>
      <c r="F23" s="21">
        <v>1.0</v>
      </c>
      <c r="G23" s="21" t="s">
        <v>196</v>
      </c>
      <c r="H23" s="23"/>
      <c r="I23" s="21" t="s">
        <v>197</v>
      </c>
      <c r="J23" s="23"/>
      <c r="K23" s="23"/>
      <c r="L23" s="22"/>
      <c r="M23" s="24"/>
      <c r="N23" s="7"/>
      <c r="O23" s="17"/>
      <c r="P23" s="24"/>
      <c r="Q23" s="7"/>
      <c r="R23" s="7"/>
      <c r="S23" s="7"/>
      <c r="T23" s="7"/>
      <c r="U23" s="7"/>
      <c r="V23" s="7"/>
      <c r="W23" s="7"/>
      <c r="X23" s="7"/>
      <c r="Y23" s="7"/>
      <c r="Z23" s="7"/>
      <c r="AA23" s="7"/>
      <c r="AB23" s="7"/>
      <c r="AC23" s="7"/>
      <c r="AD23" s="7"/>
      <c r="AE23" s="7"/>
    </row>
    <row r="24">
      <c r="A24" s="26" t="s">
        <v>198</v>
      </c>
      <c r="B24" s="29" t="s">
        <v>199</v>
      </c>
      <c r="C24" s="22" t="s">
        <v>33</v>
      </c>
      <c r="D24" s="21" t="s">
        <v>155</v>
      </c>
      <c r="E24" s="22"/>
      <c r="F24" s="23"/>
      <c r="G24" s="23"/>
      <c r="H24" s="23"/>
      <c r="I24" s="23" t="s">
        <v>200</v>
      </c>
      <c r="J24" s="23"/>
      <c r="K24" s="23"/>
      <c r="L24" s="22" t="s">
        <v>57</v>
      </c>
      <c r="M24" s="24" t="s">
        <v>58</v>
      </c>
      <c r="N24" s="17"/>
      <c r="O24" s="17"/>
      <c r="P24" s="24" t="s">
        <v>201</v>
      </c>
      <c r="Q24" s="7"/>
      <c r="R24" s="7"/>
      <c r="S24" s="7"/>
      <c r="T24" s="7"/>
      <c r="U24" s="7"/>
      <c r="V24" s="7"/>
      <c r="W24" s="7"/>
      <c r="X24" s="7"/>
      <c r="Y24" s="7"/>
      <c r="Z24" s="7"/>
      <c r="AA24" s="7"/>
      <c r="AB24" s="7"/>
      <c r="AC24" s="7"/>
      <c r="AD24" s="7"/>
      <c r="AE24" s="7"/>
    </row>
    <row r="25">
      <c r="A25" s="26" t="s">
        <v>202</v>
      </c>
      <c r="B25" s="29" t="s">
        <v>203</v>
      </c>
      <c r="C25" s="21">
        <v>2.0</v>
      </c>
      <c r="D25" s="21" t="s">
        <v>45</v>
      </c>
      <c r="E25" s="7"/>
      <c r="F25" s="17" t="s">
        <v>53</v>
      </c>
      <c r="G25" s="17" t="s">
        <v>54</v>
      </c>
      <c r="H25" s="23" t="s">
        <v>204</v>
      </c>
      <c r="I25" s="23">
        <v>1.0</v>
      </c>
      <c r="J25" s="17" t="s">
        <v>54</v>
      </c>
      <c r="K25" s="17" t="s">
        <v>57</v>
      </c>
      <c r="L25" s="22" t="s">
        <v>57</v>
      </c>
      <c r="M25" s="24" t="s">
        <v>205</v>
      </c>
      <c r="N25" s="7"/>
      <c r="O25" s="24" t="s">
        <v>206</v>
      </c>
      <c r="P25" s="24" t="s">
        <v>207</v>
      </c>
      <c r="Q25" s="7"/>
      <c r="R25" s="7"/>
      <c r="S25" s="7"/>
      <c r="T25" s="7"/>
      <c r="U25" s="7"/>
      <c r="V25" s="7"/>
      <c r="W25" s="7"/>
      <c r="X25" s="7"/>
      <c r="Y25" s="7"/>
      <c r="Z25" s="7"/>
      <c r="AA25" s="7"/>
      <c r="AB25" s="7"/>
      <c r="AC25" s="7"/>
      <c r="AD25" s="7"/>
      <c r="AE25" s="7"/>
    </row>
    <row r="26">
      <c r="A26" s="30" t="s">
        <v>208</v>
      </c>
      <c r="B26" s="31" t="s">
        <v>209</v>
      </c>
      <c r="C26" s="23">
        <v>2.0</v>
      </c>
      <c r="D26" s="21" t="s">
        <v>98</v>
      </c>
      <c r="E26" s="22" t="s">
        <v>57</v>
      </c>
      <c r="F26" s="23" t="s">
        <v>210</v>
      </c>
      <c r="G26" s="23" t="s">
        <v>211</v>
      </c>
      <c r="H26" s="23" t="s">
        <v>212</v>
      </c>
      <c r="I26" s="23" t="s">
        <v>213</v>
      </c>
      <c r="J26" s="23" t="s">
        <v>54</v>
      </c>
      <c r="K26" s="23" t="s">
        <v>57</v>
      </c>
      <c r="L26" s="22" t="s">
        <v>57</v>
      </c>
      <c r="M26" s="24" t="s">
        <v>214</v>
      </c>
      <c r="N26" s="25" t="s">
        <v>215</v>
      </c>
      <c r="O26" s="24" t="s">
        <v>216</v>
      </c>
      <c r="P26" s="24" t="s">
        <v>217</v>
      </c>
      <c r="Q26" s="7"/>
      <c r="R26" s="7"/>
      <c r="S26" s="7"/>
      <c r="T26" s="7"/>
      <c r="U26" s="7"/>
      <c r="V26" s="7"/>
      <c r="W26" s="7"/>
      <c r="X26" s="7"/>
      <c r="Y26" s="7"/>
      <c r="Z26" s="7"/>
      <c r="AA26" s="7"/>
      <c r="AB26" s="7"/>
      <c r="AC26" s="7"/>
      <c r="AD26" s="7"/>
      <c r="AE26" s="7"/>
    </row>
    <row r="27">
      <c r="A27" s="30" t="s">
        <v>218</v>
      </c>
      <c r="B27" s="31" t="s">
        <v>219</v>
      </c>
      <c r="C27" s="21" t="s">
        <v>33</v>
      </c>
      <c r="D27" s="21" t="s">
        <v>220</v>
      </c>
      <c r="E27" s="22" t="s">
        <v>53</v>
      </c>
      <c r="F27" s="23" t="s">
        <v>221</v>
      </c>
      <c r="G27" s="23" t="s">
        <v>222</v>
      </c>
      <c r="H27" s="23" t="s">
        <v>223</v>
      </c>
      <c r="I27" s="23" t="s">
        <v>224</v>
      </c>
      <c r="J27" s="23">
        <v>0.0</v>
      </c>
      <c r="K27" s="23">
        <v>0.0</v>
      </c>
      <c r="L27" s="22" t="s">
        <v>57</v>
      </c>
      <c r="M27" s="23" t="s">
        <v>225</v>
      </c>
      <c r="N27" s="7"/>
      <c r="O27" s="23" t="s">
        <v>226</v>
      </c>
      <c r="P27" s="23" t="s">
        <v>227</v>
      </c>
      <c r="Q27" s="7"/>
      <c r="R27" s="7"/>
      <c r="S27" s="7"/>
      <c r="T27" s="7"/>
      <c r="U27" s="7"/>
      <c r="V27" s="7"/>
      <c r="W27" s="7"/>
      <c r="X27" s="7"/>
      <c r="Y27" s="7"/>
      <c r="Z27" s="7"/>
      <c r="AA27" s="7"/>
      <c r="AB27" s="7"/>
      <c r="AC27" s="7"/>
      <c r="AD27" s="7"/>
      <c r="AE27" s="7"/>
    </row>
    <row r="28">
      <c r="A28" s="30" t="s">
        <v>228</v>
      </c>
      <c r="B28" s="31" t="s">
        <v>229</v>
      </c>
      <c r="C28" s="21">
        <v>1.0</v>
      </c>
      <c r="D28" s="21" t="s">
        <v>52</v>
      </c>
      <c r="E28" s="7"/>
      <c r="F28" s="23"/>
      <c r="G28" s="23"/>
      <c r="H28" s="23"/>
      <c r="I28" s="23" t="s">
        <v>230</v>
      </c>
      <c r="J28" s="23"/>
      <c r="K28" s="23"/>
      <c r="L28" s="7" t="s">
        <v>57</v>
      </c>
      <c r="M28" s="17"/>
      <c r="N28" s="7"/>
      <c r="O28" s="17"/>
      <c r="P28" s="17"/>
      <c r="Q28" s="7"/>
      <c r="R28" s="7"/>
      <c r="S28" s="7"/>
      <c r="T28" s="7"/>
      <c r="U28" s="7"/>
      <c r="V28" s="7"/>
      <c r="W28" s="7"/>
      <c r="X28" s="7"/>
      <c r="Y28" s="7"/>
      <c r="Z28" s="7"/>
      <c r="AA28" s="7"/>
      <c r="AB28" s="7"/>
      <c r="AC28" s="7"/>
      <c r="AD28" s="7"/>
      <c r="AE28" s="7"/>
    </row>
    <row r="29">
      <c r="A29" s="30" t="s">
        <v>231</v>
      </c>
      <c r="B29" s="31" t="s">
        <v>232</v>
      </c>
      <c r="C29" s="21">
        <v>1.0</v>
      </c>
      <c r="D29" s="21" t="s">
        <v>233</v>
      </c>
      <c r="E29" s="22"/>
      <c r="F29" s="23"/>
      <c r="G29" s="23"/>
      <c r="H29" s="23"/>
      <c r="I29" s="23" t="s">
        <v>234</v>
      </c>
      <c r="J29" s="23"/>
      <c r="K29" s="23"/>
      <c r="L29" s="22" t="s">
        <v>57</v>
      </c>
      <c r="M29" s="21" t="s">
        <v>235</v>
      </c>
      <c r="N29" s="7"/>
      <c r="O29" s="17"/>
      <c r="P29" s="21" t="s">
        <v>236</v>
      </c>
      <c r="Q29" s="7"/>
      <c r="R29" s="7"/>
      <c r="S29" s="7"/>
      <c r="T29" s="7"/>
      <c r="U29" s="7"/>
      <c r="V29" s="7"/>
      <c r="W29" s="7"/>
      <c r="X29" s="7"/>
      <c r="Y29" s="7"/>
      <c r="Z29" s="7"/>
      <c r="AA29" s="7"/>
      <c r="AB29" s="7"/>
      <c r="AC29" s="7"/>
      <c r="AD29" s="7"/>
      <c r="AE29" s="7"/>
    </row>
    <row r="30">
      <c r="A30" s="30" t="s">
        <v>237</v>
      </c>
      <c r="B30" s="31" t="s">
        <v>238</v>
      </c>
      <c r="C30" s="21">
        <v>2.0</v>
      </c>
      <c r="D30" s="21" t="s">
        <v>71</v>
      </c>
      <c r="E30" s="17"/>
      <c r="F30" s="17"/>
      <c r="G30" s="17"/>
      <c r="H30" s="17"/>
      <c r="I30" s="21" t="s">
        <v>239</v>
      </c>
      <c r="J30" s="17"/>
      <c r="K30" s="17"/>
      <c r="L30" s="17"/>
      <c r="M30" s="17"/>
      <c r="N30" s="17"/>
      <c r="O30" s="17"/>
      <c r="P30" s="17"/>
      <c r="Q30" s="7"/>
      <c r="R30" s="7"/>
      <c r="S30" s="7"/>
      <c r="T30" s="7"/>
      <c r="U30" s="7"/>
      <c r="V30" s="7"/>
      <c r="W30" s="7"/>
      <c r="X30" s="7"/>
      <c r="Y30" s="7"/>
      <c r="Z30" s="7"/>
      <c r="AA30" s="7"/>
      <c r="AB30" s="7"/>
      <c r="AC30" s="7"/>
      <c r="AD30" s="7"/>
      <c r="AE30" s="7"/>
    </row>
    <row r="31">
      <c r="A31" s="30" t="s">
        <v>240</v>
      </c>
      <c r="B31" s="31" t="s">
        <v>241</v>
      </c>
      <c r="C31" s="21">
        <v>1.0</v>
      </c>
      <c r="D31" s="21" t="s">
        <v>89</v>
      </c>
      <c r="E31" s="17"/>
      <c r="F31" s="23"/>
      <c r="G31" s="23"/>
      <c r="H31" s="23"/>
      <c r="I31" s="23" t="s">
        <v>242</v>
      </c>
      <c r="J31" s="23"/>
      <c r="K31" s="23"/>
      <c r="L31" s="17" t="s">
        <v>57</v>
      </c>
      <c r="M31" s="17"/>
      <c r="N31" s="17"/>
      <c r="O31" s="17"/>
      <c r="P31" s="17"/>
      <c r="Q31" s="7"/>
      <c r="R31" s="7"/>
      <c r="S31" s="7"/>
      <c r="T31" s="7"/>
      <c r="U31" s="7"/>
      <c r="V31" s="7"/>
      <c r="W31" s="7"/>
      <c r="X31" s="7"/>
      <c r="Y31" s="7"/>
      <c r="Z31" s="7"/>
      <c r="AA31" s="7"/>
      <c r="AB31" s="7"/>
      <c r="AC31" s="7"/>
      <c r="AD31" s="7"/>
      <c r="AE31" s="7"/>
    </row>
    <row r="32">
      <c r="A32" s="26" t="s">
        <v>243</v>
      </c>
      <c r="B32" s="31" t="s">
        <v>244</v>
      </c>
      <c r="C32" s="22">
        <v>2.0</v>
      </c>
      <c r="D32" s="21" t="s">
        <v>191</v>
      </c>
      <c r="E32" s="22" t="s">
        <v>53</v>
      </c>
      <c r="F32" s="23">
        <v>0.0</v>
      </c>
      <c r="G32" s="23" t="s">
        <v>245</v>
      </c>
      <c r="H32" s="23">
        <v>7.0</v>
      </c>
      <c r="I32" s="23" t="s">
        <v>246</v>
      </c>
      <c r="J32" s="23">
        <v>4.0</v>
      </c>
      <c r="K32" s="23" t="s">
        <v>57</v>
      </c>
      <c r="L32" s="22" t="s">
        <v>57</v>
      </c>
      <c r="M32" s="21" t="s">
        <v>247</v>
      </c>
      <c r="N32" s="23" t="s">
        <v>54</v>
      </c>
      <c r="O32" s="23" t="s">
        <v>248</v>
      </c>
      <c r="P32" s="40" t="s">
        <v>249</v>
      </c>
      <c r="Q32" s="7"/>
      <c r="R32" s="7"/>
      <c r="S32" s="7"/>
      <c r="T32" s="7"/>
      <c r="U32" s="7"/>
      <c r="V32" s="7"/>
      <c r="W32" s="7"/>
      <c r="X32" s="7"/>
      <c r="Y32" s="7"/>
      <c r="Z32" s="7"/>
      <c r="AA32" s="7"/>
      <c r="AB32" s="7"/>
      <c r="AC32" s="7"/>
      <c r="AD32" s="7"/>
      <c r="AE32" s="7"/>
    </row>
    <row r="33">
      <c r="A33" s="30" t="s">
        <v>250</v>
      </c>
      <c r="B33" s="31" t="s">
        <v>251</v>
      </c>
      <c r="C33" s="41">
        <v>1.0</v>
      </c>
      <c r="D33" s="21" t="s">
        <v>191</v>
      </c>
      <c r="E33" s="42"/>
      <c r="F33" s="17"/>
      <c r="G33" s="17"/>
      <c r="H33" s="17"/>
      <c r="I33" s="23" t="s">
        <v>252</v>
      </c>
      <c r="J33" s="17"/>
      <c r="K33" s="17"/>
      <c r="L33" s="43" t="s">
        <v>57</v>
      </c>
      <c r="M33" s="17"/>
      <c r="N33" s="17"/>
      <c r="O33" s="17"/>
      <c r="P33" s="17"/>
      <c r="Q33" s="44"/>
      <c r="R33" s="44"/>
      <c r="S33" s="44"/>
      <c r="T33" s="44"/>
      <c r="U33" s="44"/>
      <c r="V33" s="44"/>
      <c r="W33" s="44"/>
      <c r="X33" s="44"/>
      <c r="Y33" s="44"/>
      <c r="Z33" s="44"/>
      <c r="AA33" s="44"/>
      <c r="AB33" s="44"/>
      <c r="AC33" s="44"/>
      <c r="AD33" s="44"/>
      <c r="AE33" s="44"/>
    </row>
    <row r="34">
      <c r="A34" s="26" t="s">
        <v>253</v>
      </c>
      <c r="B34" s="29" t="s">
        <v>254</v>
      </c>
      <c r="C34" s="45">
        <v>2.0</v>
      </c>
      <c r="D34" s="21" t="s">
        <v>255</v>
      </c>
      <c r="E34" s="45"/>
      <c r="F34" s="42"/>
      <c r="G34" s="23"/>
      <c r="H34" s="42"/>
      <c r="I34" s="23" t="s">
        <v>256</v>
      </c>
      <c r="J34" s="23"/>
      <c r="K34" s="42"/>
      <c r="L34" s="22" t="s">
        <v>57</v>
      </c>
      <c r="M34" s="46"/>
      <c r="N34" s="47" t="s">
        <v>257</v>
      </c>
      <c r="O34" s="46"/>
      <c r="P34" s="47" t="s">
        <v>258</v>
      </c>
      <c r="Q34" s="7"/>
      <c r="R34" s="7"/>
      <c r="S34" s="7"/>
      <c r="T34" s="7"/>
      <c r="U34" s="7"/>
      <c r="V34" s="7"/>
      <c r="W34" s="7"/>
      <c r="X34" s="7"/>
      <c r="Y34" s="7"/>
      <c r="Z34" s="7"/>
      <c r="AA34" s="7"/>
      <c r="AB34" s="7"/>
      <c r="AC34" s="7"/>
      <c r="AD34" s="7"/>
      <c r="AE34" s="7"/>
    </row>
    <row r="35">
      <c r="A35" s="26" t="s">
        <v>259</v>
      </c>
      <c r="B35" s="29" t="s">
        <v>260</v>
      </c>
      <c r="C35" s="41">
        <v>1.0</v>
      </c>
      <c r="D35" s="21" t="s">
        <v>261</v>
      </c>
      <c r="E35" s="45" t="s">
        <v>57</v>
      </c>
      <c r="F35" s="42">
        <v>0.0</v>
      </c>
      <c r="G35" s="23" t="s">
        <v>262</v>
      </c>
      <c r="H35" s="42">
        <v>9.0</v>
      </c>
      <c r="I35" s="23" t="s">
        <v>263</v>
      </c>
      <c r="J35" s="23">
        <v>2.0</v>
      </c>
      <c r="K35" s="42" t="s">
        <v>57</v>
      </c>
      <c r="L35" s="22" t="s">
        <v>57</v>
      </c>
      <c r="M35" s="23" t="s">
        <v>264</v>
      </c>
      <c r="N35" s="23" t="s">
        <v>265</v>
      </c>
      <c r="O35" s="23" t="s">
        <v>266</v>
      </c>
      <c r="P35" s="23" t="s">
        <v>267</v>
      </c>
      <c r="Q35" s="7"/>
      <c r="R35" s="7"/>
      <c r="S35" s="7"/>
      <c r="T35" s="7"/>
      <c r="U35" s="7"/>
      <c r="V35" s="7"/>
      <c r="W35" s="7"/>
      <c r="X35" s="7"/>
      <c r="Y35" s="7"/>
      <c r="Z35" s="7"/>
      <c r="AA35" s="7"/>
      <c r="AB35" s="7"/>
      <c r="AC35" s="7"/>
      <c r="AD35" s="7"/>
      <c r="AE35" s="7"/>
    </row>
    <row r="36">
      <c r="A36" s="48" t="s">
        <v>268</v>
      </c>
      <c r="B36" s="29" t="s">
        <v>269</v>
      </c>
      <c r="C36" s="45">
        <v>2.0</v>
      </c>
      <c r="D36" s="21" t="s">
        <v>116</v>
      </c>
      <c r="E36" s="45" t="s">
        <v>53</v>
      </c>
      <c r="F36" s="42" t="s">
        <v>221</v>
      </c>
      <c r="G36" s="23" t="s">
        <v>270</v>
      </c>
      <c r="H36" s="42">
        <v>5.0</v>
      </c>
      <c r="I36" s="23" t="s">
        <v>271</v>
      </c>
      <c r="J36" s="23">
        <v>5.0</v>
      </c>
      <c r="K36" s="42" t="s">
        <v>57</v>
      </c>
      <c r="L36" s="22" t="s">
        <v>57</v>
      </c>
      <c r="M36" s="21" t="s">
        <v>272</v>
      </c>
      <c r="N36" s="17"/>
      <c r="O36" s="21" t="s">
        <v>273</v>
      </c>
      <c r="P36" s="23" t="s">
        <v>274</v>
      </c>
      <c r="Q36" s="7"/>
      <c r="R36" s="7"/>
      <c r="S36" s="7"/>
      <c r="T36" s="7"/>
      <c r="U36" s="7"/>
      <c r="V36" s="7"/>
      <c r="W36" s="7"/>
      <c r="X36" s="7"/>
      <c r="Y36" s="7"/>
      <c r="Z36" s="7"/>
      <c r="AA36" s="7"/>
      <c r="AB36" s="7"/>
      <c r="AC36" s="7"/>
      <c r="AD36" s="7"/>
      <c r="AE36" s="7"/>
    </row>
    <row r="37">
      <c r="A37" s="48" t="s">
        <v>275</v>
      </c>
      <c r="B37" s="29" t="s">
        <v>276</v>
      </c>
      <c r="C37" s="41">
        <v>1.0</v>
      </c>
      <c r="D37" s="41" t="s">
        <v>277</v>
      </c>
      <c r="E37" s="45"/>
      <c r="F37" s="42"/>
      <c r="G37" s="23"/>
      <c r="H37" s="42"/>
      <c r="I37" s="23" t="s">
        <v>278</v>
      </c>
      <c r="J37" s="23"/>
      <c r="K37" s="42"/>
      <c r="L37" s="22" t="s">
        <v>57</v>
      </c>
      <c r="M37" s="17"/>
      <c r="N37" s="17"/>
      <c r="O37" s="17"/>
      <c r="P37" s="17"/>
      <c r="Q37" s="7"/>
      <c r="R37" s="7"/>
      <c r="S37" s="7"/>
      <c r="T37" s="7"/>
      <c r="U37" s="7"/>
      <c r="V37" s="7"/>
      <c r="W37" s="7"/>
      <c r="X37" s="7"/>
      <c r="Y37" s="7"/>
      <c r="Z37" s="7"/>
      <c r="AA37" s="7"/>
      <c r="AB37" s="7"/>
      <c r="AC37" s="7"/>
      <c r="AD37" s="7"/>
      <c r="AE37" s="7"/>
    </row>
    <row r="38">
      <c r="A38" s="48" t="s">
        <v>279</v>
      </c>
      <c r="B38" s="31" t="s">
        <v>280</v>
      </c>
      <c r="C38" s="45">
        <v>2.0</v>
      </c>
      <c r="D38" s="21" t="s">
        <v>281</v>
      </c>
      <c r="E38" s="45"/>
      <c r="F38" s="42"/>
      <c r="G38" s="23"/>
      <c r="H38" s="42"/>
      <c r="I38" s="23" t="s">
        <v>282</v>
      </c>
      <c r="J38" s="23"/>
      <c r="K38" s="42"/>
      <c r="L38" s="22" t="s">
        <v>57</v>
      </c>
      <c r="M38" s="42" t="s">
        <v>283</v>
      </c>
      <c r="N38" s="45">
        <v>5.0</v>
      </c>
      <c r="O38" s="23" t="s">
        <v>284</v>
      </c>
      <c r="P38" s="23" t="s">
        <v>285</v>
      </c>
      <c r="Q38" s="7"/>
      <c r="R38" s="7"/>
      <c r="S38" s="7"/>
      <c r="T38" s="7"/>
      <c r="U38" s="7"/>
      <c r="V38" s="7"/>
      <c r="W38" s="7"/>
      <c r="X38" s="7"/>
      <c r="Y38" s="7"/>
      <c r="Z38" s="7"/>
      <c r="AA38" s="7"/>
      <c r="AB38" s="7"/>
      <c r="AC38" s="7"/>
      <c r="AD38" s="7"/>
      <c r="AE38" s="7"/>
    </row>
    <row r="39">
      <c r="A39" s="49" t="s">
        <v>286</v>
      </c>
      <c r="B39" s="20" t="s">
        <v>287</v>
      </c>
      <c r="C39" s="41">
        <v>2.0</v>
      </c>
      <c r="D39" s="21" t="s">
        <v>288</v>
      </c>
      <c r="E39" s="41" t="s">
        <v>53</v>
      </c>
      <c r="F39" s="42"/>
      <c r="G39" s="23"/>
      <c r="H39" s="42"/>
      <c r="I39" s="21" t="s">
        <v>289</v>
      </c>
      <c r="J39" s="23"/>
      <c r="K39" s="42"/>
      <c r="L39" s="22"/>
      <c r="M39" s="42"/>
      <c r="N39" s="45"/>
      <c r="O39" s="17"/>
      <c r="P39" s="17"/>
      <c r="Q39" s="7"/>
      <c r="R39" s="7"/>
      <c r="S39" s="7"/>
      <c r="T39" s="7"/>
      <c r="U39" s="7"/>
      <c r="V39" s="7"/>
      <c r="W39" s="7"/>
      <c r="X39" s="7"/>
      <c r="Y39" s="7"/>
      <c r="Z39" s="7"/>
      <c r="AA39" s="7"/>
      <c r="AB39" s="7"/>
      <c r="AC39" s="7"/>
      <c r="AD39" s="7"/>
      <c r="AE39" s="7"/>
    </row>
    <row r="40">
      <c r="A40" s="50" t="s">
        <v>290</v>
      </c>
      <c r="B40" s="31" t="s">
        <v>291</v>
      </c>
      <c r="C40" s="41" t="s">
        <v>292</v>
      </c>
      <c r="D40" s="21" t="s">
        <v>293</v>
      </c>
      <c r="E40" s="45"/>
      <c r="F40" s="42"/>
      <c r="G40" s="23"/>
      <c r="H40" s="42"/>
      <c r="I40" s="23" t="s">
        <v>294</v>
      </c>
      <c r="J40" s="23"/>
      <c r="K40" s="42"/>
      <c r="L40" s="22" t="s">
        <v>295</v>
      </c>
      <c r="M40" s="17"/>
      <c r="N40" s="7"/>
      <c r="O40" s="17"/>
      <c r="P40" s="17"/>
      <c r="Q40" s="7"/>
      <c r="R40" s="7"/>
      <c r="S40" s="7"/>
      <c r="T40" s="7"/>
      <c r="U40" s="7"/>
      <c r="V40" s="7"/>
      <c r="W40" s="7"/>
      <c r="X40" s="7"/>
      <c r="Y40" s="7"/>
      <c r="Z40" s="7"/>
      <c r="AA40" s="7"/>
      <c r="AB40" s="7"/>
      <c r="AC40" s="7"/>
      <c r="AD40" s="7"/>
      <c r="AE40" s="7"/>
    </row>
    <row r="41">
      <c r="A41" s="50" t="s">
        <v>296</v>
      </c>
      <c r="B41" s="31" t="s">
        <v>297</v>
      </c>
      <c r="C41" s="42">
        <v>2.0</v>
      </c>
      <c r="D41" s="21" t="s">
        <v>298</v>
      </c>
      <c r="E41" s="45"/>
      <c r="F41" s="17"/>
      <c r="G41" s="17"/>
      <c r="H41" s="17"/>
      <c r="I41" s="23" t="s">
        <v>299</v>
      </c>
      <c r="J41" s="17"/>
      <c r="K41" s="17"/>
      <c r="L41" s="7" t="s">
        <v>53</v>
      </c>
      <c r="M41" s="17"/>
      <c r="N41" s="7"/>
      <c r="O41" s="17"/>
      <c r="P41" s="17"/>
      <c r="Q41" s="7"/>
      <c r="R41" s="7"/>
      <c r="S41" s="7"/>
      <c r="T41" s="7"/>
      <c r="U41" s="7"/>
      <c r="V41" s="7"/>
      <c r="W41" s="7"/>
      <c r="X41" s="7"/>
      <c r="Y41" s="7"/>
      <c r="Z41" s="7"/>
      <c r="AA41" s="7"/>
      <c r="AB41" s="7"/>
      <c r="AC41" s="7"/>
      <c r="AD41" s="7"/>
      <c r="AE41" s="7"/>
    </row>
    <row r="42">
      <c r="A42" s="50" t="s">
        <v>300</v>
      </c>
      <c r="B42" s="31" t="s">
        <v>301</v>
      </c>
      <c r="C42" s="42" t="s">
        <v>33</v>
      </c>
      <c r="D42" s="21" t="s">
        <v>302</v>
      </c>
      <c r="E42" s="7"/>
      <c r="F42" s="17"/>
      <c r="G42" s="17"/>
      <c r="H42" s="17"/>
      <c r="I42" s="21" t="s">
        <v>303</v>
      </c>
      <c r="J42" s="23"/>
      <c r="K42" s="17"/>
      <c r="L42" s="7"/>
      <c r="M42" s="17"/>
      <c r="N42" s="7"/>
      <c r="O42" s="17"/>
      <c r="P42" s="17"/>
      <c r="Q42" s="7"/>
      <c r="R42" s="7"/>
      <c r="S42" s="7"/>
      <c r="T42" s="7"/>
      <c r="U42" s="7"/>
      <c r="V42" s="7"/>
      <c r="W42" s="7"/>
      <c r="X42" s="7"/>
      <c r="Y42" s="7"/>
      <c r="Z42" s="7"/>
      <c r="AA42" s="7"/>
      <c r="AB42" s="7"/>
      <c r="AC42" s="7"/>
      <c r="AD42" s="7"/>
      <c r="AE42" s="7"/>
    </row>
    <row r="43">
      <c r="A43" s="50" t="s">
        <v>304</v>
      </c>
      <c r="B43" s="31" t="s">
        <v>305</v>
      </c>
      <c r="C43" s="42">
        <v>1.0</v>
      </c>
      <c r="D43" s="21" t="s">
        <v>45</v>
      </c>
      <c r="E43" s="7"/>
      <c r="F43" s="17"/>
      <c r="G43" s="17"/>
      <c r="H43" s="17"/>
      <c r="I43" s="21" t="s">
        <v>306</v>
      </c>
      <c r="J43" s="23"/>
      <c r="K43" s="17"/>
      <c r="L43" s="7"/>
      <c r="M43" s="17"/>
      <c r="N43" s="7"/>
      <c r="O43" s="17"/>
      <c r="P43" s="17"/>
      <c r="Q43" s="7"/>
      <c r="R43" s="7"/>
      <c r="S43" s="7"/>
      <c r="T43" s="7"/>
      <c r="U43" s="7"/>
      <c r="V43" s="7"/>
      <c r="W43" s="7"/>
      <c r="X43" s="7"/>
      <c r="Y43" s="7"/>
      <c r="Z43" s="7"/>
      <c r="AA43" s="7"/>
      <c r="AB43" s="7"/>
      <c r="AC43" s="7"/>
      <c r="AD43" s="7"/>
      <c r="AE43" s="7"/>
    </row>
    <row r="44">
      <c r="A44" s="50" t="s">
        <v>307</v>
      </c>
      <c r="B44" s="31" t="s">
        <v>308</v>
      </c>
      <c r="C44" s="42">
        <v>2.0</v>
      </c>
      <c r="D44" s="21" t="s">
        <v>261</v>
      </c>
      <c r="E44" s="7"/>
      <c r="F44" s="17"/>
      <c r="G44" s="17"/>
      <c r="H44" s="17"/>
      <c r="I44" s="21" t="s">
        <v>309</v>
      </c>
      <c r="J44" s="23"/>
      <c r="K44" s="17"/>
      <c r="L44" s="7"/>
      <c r="M44" s="17"/>
      <c r="N44" s="7"/>
      <c r="O44" s="17"/>
      <c r="P44" s="17"/>
      <c r="Q44" s="7"/>
      <c r="R44" s="7"/>
      <c r="S44" s="7"/>
      <c r="T44" s="7"/>
      <c r="U44" s="7"/>
      <c r="V44" s="7"/>
      <c r="W44" s="7"/>
      <c r="X44" s="7"/>
      <c r="Y44" s="7"/>
      <c r="Z44" s="7"/>
      <c r="AA44" s="7"/>
      <c r="AB44" s="7"/>
      <c r="AC44" s="7"/>
      <c r="AD44" s="7"/>
      <c r="AE44" s="7"/>
    </row>
    <row r="45">
      <c r="A45" s="50" t="s">
        <v>310</v>
      </c>
      <c r="B45" s="31" t="s">
        <v>311</v>
      </c>
      <c r="C45" s="42">
        <v>1.0</v>
      </c>
      <c r="D45" s="21" t="s">
        <v>50</v>
      </c>
      <c r="E45" s="7"/>
      <c r="F45" s="17"/>
      <c r="G45" s="17"/>
      <c r="H45" s="17"/>
      <c r="I45" s="21" t="s">
        <v>312</v>
      </c>
      <c r="J45" s="23"/>
      <c r="K45" s="17"/>
      <c r="L45" s="7"/>
      <c r="M45" s="17"/>
      <c r="N45" s="7"/>
      <c r="O45" s="17"/>
      <c r="P45" s="17"/>
      <c r="Q45" s="7"/>
      <c r="R45" s="7"/>
      <c r="S45" s="7"/>
      <c r="T45" s="7"/>
      <c r="U45" s="7"/>
      <c r="V45" s="7"/>
      <c r="W45" s="7"/>
      <c r="X45" s="7"/>
      <c r="Y45" s="7"/>
      <c r="Z45" s="7"/>
      <c r="AA45" s="7"/>
      <c r="AB45" s="7"/>
      <c r="AC45" s="7"/>
      <c r="AD45" s="7"/>
      <c r="AE45" s="7"/>
    </row>
    <row r="46">
      <c r="A46" s="50" t="s">
        <v>313</v>
      </c>
      <c r="B46" s="31" t="s">
        <v>314</v>
      </c>
      <c r="C46" s="42">
        <v>2.0</v>
      </c>
      <c r="D46" s="21" t="s">
        <v>261</v>
      </c>
      <c r="E46" s="7"/>
      <c r="F46" s="17"/>
      <c r="G46" s="17"/>
      <c r="H46" s="17"/>
      <c r="I46" s="21" t="s">
        <v>315</v>
      </c>
      <c r="J46" s="23"/>
      <c r="K46" s="17"/>
      <c r="L46" s="7"/>
      <c r="M46" s="17"/>
      <c r="N46" s="7"/>
      <c r="O46" s="17"/>
      <c r="P46" s="17"/>
      <c r="Q46" s="7"/>
      <c r="R46" s="7"/>
      <c r="S46" s="7"/>
      <c r="T46" s="7"/>
      <c r="U46" s="7"/>
      <c r="V46" s="7"/>
      <c r="W46" s="7"/>
      <c r="X46" s="7"/>
      <c r="Y46" s="7"/>
      <c r="Z46" s="7"/>
      <c r="AA46" s="7"/>
      <c r="AB46" s="7"/>
      <c r="AC46" s="7"/>
      <c r="AD46" s="7"/>
      <c r="AE46" s="7"/>
    </row>
    <row r="47">
      <c r="A47" s="48" t="s">
        <v>316</v>
      </c>
      <c r="B47" s="31" t="s">
        <v>317</v>
      </c>
      <c r="C47" s="42">
        <v>2.0</v>
      </c>
      <c r="D47" s="21" t="s">
        <v>261</v>
      </c>
      <c r="E47" s="17"/>
      <c r="F47" s="7"/>
      <c r="G47" s="17"/>
      <c r="H47" s="7"/>
      <c r="I47" s="21" t="s">
        <v>318</v>
      </c>
      <c r="J47" s="23"/>
      <c r="K47" s="7"/>
      <c r="L47" s="7"/>
      <c r="M47" s="17"/>
      <c r="N47" s="17"/>
      <c r="O47" s="17"/>
      <c r="P47" s="17"/>
      <c r="Q47" s="7"/>
      <c r="R47" s="7"/>
      <c r="S47" s="7"/>
      <c r="T47" s="7"/>
      <c r="U47" s="7"/>
      <c r="V47" s="7"/>
      <c r="W47" s="7"/>
      <c r="X47" s="7"/>
      <c r="Y47" s="7"/>
      <c r="Z47" s="7"/>
      <c r="AA47" s="7"/>
      <c r="AB47" s="7"/>
      <c r="AC47" s="7"/>
      <c r="AD47" s="7"/>
      <c r="AE47" s="7"/>
    </row>
    <row r="48">
      <c r="A48" s="48" t="s">
        <v>319</v>
      </c>
      <c r="B48" s="29" t="s">
        <v>320</v>
      </c>
      <c r="C48" s="42">
        <v>1.0</v>
      </c>
      <c r="D48" s="21" t="s">
        <v>321</v>
      </c>
      <c r="E48" s="17"/>
      <c r="F48" s="17"/>
      <c r="G48" s="17"/>
      <c r="H48" s="17"/>
      <c r="I48" s="21" t="s">
        <v>322</v>
      </c>
      <c r="J48" s="23"/>
      <c r="K48" s="17"/>
      <c r="L48" s="7"/>
      <c r="M48" s="17"/>
      <c r="N48" s="17"/>
      <c r="O48" s="17"/>
      <c r="P48" s="17"/>
      <c r="Q48" s="7"/>
      <c r="R48" s="7"/>
      <c r="S48" s="7"/>
      <c r="T48" s="7"/>
      <c r="U48" s="7"/>
      <c r="V48" s="7"/>
      <c r="W48" s="7"/>
      <c r="X48" s="7"/>
      <c r="Y48" s="7"/>
      <c r="Z48" s="7"/>
      <c r="AA48" s="7"/>
      <c r="AB48" s="7"/>
      <c r="AC48" s="7"/>
      <c r="AD48" s="7"/>
      <c r="AE48" s="7"/>
    </row>
    <row r="49">
      <c r="A49" s="49" t="s">
        <v>323</v>
      </c>
      <c r="B49" s="20" t="s">
        <v>324</v>
      </c>
      <c r="C49" s="41">
        <v>2.0</v>
      </c>
      <c r="D49" s="21" t="s">
        <v>82</v>
      </c>
      <c r="E49" s="17"/>
      <c r="F49" s="42">
        <v>1.0</v>
      </c>
      <c r="G49" s="23" t="s">
        <v>325</v>
      </c>
      <c r="H49" s="17"/>
      <c r="I49" s="21" t="s">
        <v>326</v>
      </c>
      <c r="J49" s="23"/>
      <c r="K49" s="17"/>
      <c r="L49" s="7"/>
      <c r="M49" s="17"/>
      <c r="N49" s="17"/>
      <c r="O49" s="17"/>
      <c r="P49" s="17"/>
      <c r="Q49" s="7"/>
      <c r="R49" s="7"/>
      <c r="S49" s="7"/>
      <c r="T49" s="7"/>
      <c r="U49" s="7"/>
      <c r="V49" s="7"/>
      <c r="W49" s="7"/>
      <c r="X49" s="7"/>
      <c r="Y49" s="7"/>
      <c r="Z49" s="7"/>
      <c r="AA49" s="7"/>
      <c r="AB49" s="7"/>
      <c r="AC49" s="7"/>
      <c r="AD49" s="7"/>
      <c r="AE49" s="7"/>
    </row>
    <row r="50">
      <c r="A50" s="49" t="s">
        <v>327</v>
      </c>
      <c r="B50" s="20" t="s">
        <v>328</v>
      </c>
      <c r="C50" s="41">
        <v>2.0</v>
      </c>
      <c r="D50" s="21" t="s">
        <v>329</v>
      </c>
      <c r="E50" s="17"/>
      <c r="F50" s="41">
        <v>1.0</v>
      </c>
      <c r="G50" s="23"/>
      <c r="H50" s="17"/>
      <c r="I50" s="21" t="s">
        <v>330</v>
      </c>
      <c r="J50" s="23"/>
      <c r="K50" s="17"/>
      <c r="L50" s="7"/>
      <c r="M50" s="17"/>
      <c r="N50" s="17"/>
      <c r="O50" s="17"/>
      <c r="P50" s="17"/>
      <c r="Q50" s="7"/>
      <c r="R50" s="7"/>
      <c r="S50" s="7"/>
      <c r="T50" s="7"/>
      <c r="U50" s="7"/>
      <c r="V50" s="7"/>
      <c r="W50" s="7"/>
      <c r="X50" s="7"/>
      <c r="Y50" s="7"/>
      <c r="Z50" s="7"/>
      <c r="AA50" s="7"/>
      <c r="AB50" s="7"/>
      <c r="AC50" s="7"/>
      <c r="AD50" s="7"/>
      <c r="AE50" s="7"/>
    </row>
    <row r="51">
      <c r="A51" s="49" t="s">
        <v>331</v>
      </c>
      <c r="B51" s="20" t="s">
        <v>332</v>
      </c>
      <c r="C51" s="41">
        <v>1.0</v>
      </c>
      <c r="D51" s="21" t="s">
        <v>333</v>
      </c>
      <c r="E51" s="17"/>
      <c r="F51" s="41"/>
      <c r="G51" s="23"/>
      <c r="H51" s="17"/>
      <c r="I51" s="21" t="s">
        <v>334</v>
      </c>
      <c r="J51" s="23"/>
      <c r="K51" s="17"/>
      <c r="L51" s="7"/>
      <c r="M51" s="17"/>
      <c r="N51" s="17"/>
      <c r="O51" s="17"/>
      <c r="P51" s="17"/>
      <c r="Q51" s="7"/>
      <c r="R51" s="7"/>
      <c r="S51" s="7"/>
      <c r="T51" s="7"/>
      <c r="U51" s="7"/>
      <c r="V51" s="7"/>
      <c r="W51" s="7"/>
      <c r="X51" s="7"/>
      <c r="Y51" s="7"/>
      <c r="Z51" s="7"/>
      <c r="AA51" s="7"/>
      <c r="AB51" s="7"/>
      <c r="AC51" s="7"/>
      <c r="AD51" s="7"/>
      <c r="AE51" s="7"/>
    </row>
    <row r="52">
      <c r="A52" s="49" t="s">
        <v>335</v>
      </c>
      <c r="B52" s="20" t="s">
        <v>336</v>
      </c>
      <c r="C52" s="41">
        <v>1.0</v>
      </c>
      <c r="D52" s="21" t="s">
        <v>50</v>
      </c>
      <c r="E52" s="17"/>
      <c r="F52" s="41"/>
      <c r="G52" s="23"/>
      <c r="H52" s="17"/>
      <c r="I52" s="21" t="s">
        <v>337</v>
      </c>
      <c r="J52" s="23"/>
      <c r="K52" s="17"/>
      <c r="L52" s="7"/>
      <c r="M52" s="17"/>
      <c r="N52" s="17"/>
      <c r="O52" s="17"/>
      <c r="P52" s="17"/>
      <c r="Q52" s="7"/>
      <c r="R52" s="7"/>
      <c r="S52" s="7"/>
      <c r="T52" s="7"/>
      <c r="U52" s="7"/>
      <c r="V52" s="7"/>
      <c r="W52" s="7"/>
      <c r="X52" s="7"/>
      <c r="Y52" s="7"/>
      <c r="Z52" s="7"/>
      <c r="AA52" s="7"/>
      <c r="AB52" s="7"/>
      <c r="AC52" s="7"/>
      <c r="AD52" s="7"/>
      <c r="AE52" s="7"/>
    </row>
    <row r="53" ht="102.75" customHeight="1">
      <c r="A53" s="51" t="s">
        <v>338</v>
      </c>
      <c r="B53" s="29" t="s">
        <v>339</v>
      </c>
      <c r="C53" s="41" t="s">
        <v>33</v>
      </c>
      <c r="D53" s="21" t="s">
        <v>302</v>
      </c>
      <c r="E53" s="42" t="s">
        <v>340</v>
      </c>
      <c r="F53" s="42" t="s">
        <v>54</v>
      </c>
      <c r="G53" s="23" t="s">
        <v>341</v>
      </c>
      <c r="H53" s="42">
        <v>5.0</v>
      </c>
      <c r="I53" s="23" t="s">
        <v>342</v>
      </c>
      <c r="J53" s="23">
        <v>2.0</v>
      </c>
      <c r="K53" s="42" t="s">
        <v>53</v>
      </c>
      <c r="L53" s="22" t="s">
        <v>57</v>
      </c>
      <c r="M53" s="23" t="s">
        <v>343</v>
      </c>
      <c r="N53" s="42" t="s">
        <v>344</v>
      </c>
      <c r="O53" s="23" t="s">
        <v>345</v>
      </c>
      <c r="P53" s="23" t="s">
        <v>346</v>
      </c>
      <c r="Q53" s="7"/>
      <c r="R53" s="7"/>
      <c r="S53" s="7"/>
      <c r="T53" s="7"/>
      <c r="U53" s="7"/>
      <c r="V53" s="7"/>
      <c r="W53" s="7"/>
      <c r="X53" s="7"/>
      <c r="Y53" s="7"/>
      <c r="Z53" s="7"/>
      <c r="AA53" s="7"/>
      <c r="AB53" s="7"/>
      <c r="AC53" s="7"/>
      <c r="AD53" s="7"/>
      <c r="AE53" s="7"/>
    </row>
    <row r="54">
      <c r="A54" s="52" t="s">
        <v>347</v>
      </c>
      <c r="B54" s="31" t="s">
        <v>348</v>
      </c>
      <c r="C54" s="42" t="s">
        <v>33</v>
      </c>
      <c r="D54" s="21" t="s">
        <v>349</v>
      </c>
      <c r="E54" s="42" t="s">
        <v>53</v>
      </c>
      <c r="F54" s="23" t="s">
        <v>350</v>
      </c>
      <c r="G54" s="23" t="s">
        <v>351</v>
      </c>
      <c r="H54" s="42" t="s">
        <v>352</v>
      </c>
      <c r="I54" s="23" t="s">
        <v>353</v>
      </c>
      <c r="J54" s="23">
        <v>2.0</v>
      </c>
      <c r="K54" s="42" t="s">
        <v>57</v>
      </c>
      <c r="L54" s="23" t="s">
        <v>91</v>
      </c>
      <c r="M54" s="21" t="s">
        <v>354</v>
      </c>
      <c r="N54" s="42" t="s">
        <v>355</v>
      </c>
      <c r="O54" s="21" t="s">
        <v>356</v>
      </c>
      <c r="P54" s="21" t="s">
        <v>357</v>
      </c>
      <c r="Q54" s="7"/>
      <c r="R54" s="7"/>
      <c r="S54" s="7"/>
      <c r="T54" s="7"/>
      <c r="U54" s="7"/>
      <c r="V54" s="7"/>
      <c r="W54" s="7"/>
      <c r="X54" s="7"/>
      <c r="Y54" s="7"/>
      <c r="Z54" s="7"/>
      <c r="AA54" s="7"/>
      <c r="AB54" s="7"/>
      <c r="AC54" s="7"/>
      <c r="AD54" s="7"/>
      <c r="AE54" s="7"/>
    </row>
    <row r="55">
      <c r="A55" s="51" t="s">
        <v>358</v>
      </c>
      <c r="B55" s="29" t="s">
        <v>359</v>
      </c>
      <c r="C55" s="21">
        <v>1.0</v>
      </c>
      <c r="D55" s="21" t="s">
        <v>45</v>
      </c>
      <c r="E55" s="42"/>
      <c r="F55" s="42"/>
      <c r="G55" s="23"/>
      <c r="H55" s="42"/>
      <c r="I55" s="23" t="s">
        <v>360</v>
      </c>
      <c r="J55" s="23"/>
      <c r="K55" s="42"/>
      <c r="L55" s="22" t="s">
        <v>57</v>
      </c>
      <c r="M55" s="17"/>
      <c r="N55" s="23" t="s">
        <v>361</v>
      </c>
      <c r="O55" s="17"/>
      <c r="P55" s="21" t="s">
        <v>362</v>
      </c>
      <c r="Q55" s="7"/>
      <c r="R55" s="7"/>
      <c r="S55" s="7"/>
      <c r="T55" s="7"/>
      <c r="U55" s="7"/>
      <c r="V55" s="7"/>
      <c r="W55" s="7"/>
      <c r="X55" s="7"/>
      <c r="Y55" s="7"/>
      <c r="Z55" s="7"/>
      <c r="AA55" s="7"/>
      <c r="AB55" s="7"/>
      <c r="AC55" s="7"/>
      <c r="AD55" s="7"/>
      <c r="AE55" s="7"/>
    </row>
    <row r="56">
      <c r="A56" s="51" t="s">
        <v>363</v>
      </c>
      <c r="B56" s="29" t="s">
        <v>364</v>
      </c>
      <c r="C56" s="21">
        <v>1.0</v>
      </c>
      <c r="D56" s="21" t="s">
        <v>333</v>
      </c>
      <c r="E56" s="42" t="s">
        <v>57</v>
      </c>
      <c r="F56" s="42" t="s">
        <v>54</v>
      </c>
      <c r="G56" s="23" t="s">
        <v>365</v>
      </c>
      <c r="H56" s="45">
        <v>5.0</v>
      </c>
      <c r="I56" s="23" t="s">
        <v>366</v>
      </c>
      <c r="J56" s="23" t="s">
        <v>54</v>
      </c>
      <c r="K56" s="42" t="s">
        <v>57</v>
      </c>
      <c r="L56" s="22" t="s">
        <v>57</v>
      </c>
      <c r="M56" s="23" t="s">
        <v>367</v>
      </c>
      <c r="N56" s="42"/>
      <c r="O56" s="17"/>
      <c r="P56" s="23" t="s">
        <v>368</v>
      </c>
      <c r="Q56" s="7"/>
      <c r="R56" s="7"/>
      <c r="S56" s="7"/>
      <c r="T56" s="7"/>
      <c r="U56" s="7"/>
      <c r="V56" s="7"/>
      <c r="W56" s="7"/>
      <c r="X56" s="7"/>
      <c r="Y56" s="7"/>
      <c r="Z56" s="7"/>
      <c r="AA56" s="7"/>
      <c r="AB56" s="7"/>
      <c r="AC56" s="7"/>
      <c r="AD56" s="7"/>
      <c r="AE56" s="7"/>
    </row>
    <row r="57">
      <c r="A57" s="51" t="s">
        <v>369</v>
      </c>
      <c r="B57" s="29" t="s">
        <v>370</v>
      </c>
      <c r="C57" s="45">
        <v>1.0</v>
      </c>
      <c r="D57" s="21" t="s">
        <v>261</v>
      </c>
      <c r="E57" s="42" t="s">
        <v>57</v>
      </c>
      <c r="F57" s="42"/>
      <c r="G57" s="23"/>
      <c r="H57" s="42"/>
      <c r="I57" s="23" t="s">
        <v>371</v>
      </c>
      <c r="J57" s="23"/>
      <c r="K57" s="42"/>
      <c r="L57" s="23" t="s">
        <v>91</v>
      </c>
      <c r="M57" s="17"/>
      <c r="N57" s="17"/>
      <c r="O57" s="17"/>
      <c r="P57" s="23" t="s">
        <v>372</v>
      </c>
      <c r="Q57" s="7"/>
      <c r="R57" s="7"/>
      <c r="S57" s="7"/>
      <c r="T57" s="7"/>
      <c r="U57" s="7"/>
      <c r="V57" s="7"/>
      <c r="W57" s="7"/>
      <c r="X57" s="7"/>
      <c r="Y57" s="7"/>
      <c r="Z57" s="7"/>
      <c r="AA57" s="7"/>
      <c r="AB57" s="7"/>
      <c r="AC57" s="7"/>
      <c r="AD57" s="7"/>
      <c r="AE57" s="7"/>
    </row>
    <row r="58">
      <c r="A58" s="51" t="s">
        <v>373</v>
      </c>
      <c r="B58" s="29" t="s">
        <v>374</v>
      </c>
      <c r="C58" s="45">
        <v>2.0</v>
      </c>
      <c r="D58" s="21" t="s">
        <v>375</v>
      </c>
      <c r="E58" s="42" t="s">
        <v>53</v>
      </c>
      <c r="F58" s="42" t="s">
        <v>54</v>
      </c>
      <c r="G58" s="23" t="s">
        <v>376</v>
      </c>
      <c r="H58" s="42" t="s">
        <v>377</v>
      </c>
      <c r="I58" s="23" t="s">
        <v>378</v>
      </c>
      <c r="J58" s="23" t="s">
        <v>54</v>
      </c>
      <c r="K58" s="42" t="s">
        <v>57</v>
      </c>
      <c r="L58" s="22" t="s">
        <v>57</v>
      </c>
      <c r="M58" s="23" t="s">
        <v>379</v>
      </c>
      <c r="N58" s="45" t="s">
        <v>380</v>
      </c>
      <c r="O58" s="23" t="s">
        <v>381</v>
      </c>
      <c r="P58" s="23" t="s">
        <v>382</v>
      </c>
      <c r="Q58" s="7"/>
      <c r="R58" s="7"/>
      <c r="S58" s="7"/>
      <c r="T58" s="7"/>
      <c r="U58" s="7"/>
      <c r="V58" s="7"/>
      <c r="W58" s="7"/>
      <c r="X58" s="7"/>
      <c r="Y58" s="7"/>
      <c r="Z58" s="7"/>
      <c r="AA58" s="7"/>
      <c r="AB58" s="7"/>
      <c r="AC58" s="7"/>
      <c r="AD58" s="7"/>
      <c r="AE58" s="7"/>
    </row>
    <row r="59">
      <c r="A59" s="51" t="s">
        <v>383</v>
      </c>
      <c r="B59" s="31" t="s">
        <v>384</v>
      </c>
      <c r="C59" s="45">
        <v>2.0</v>
      </c>
      <c r="D59" s="41" t="s">
        <v>116</v>
      </c>
      <c r="E59" s="42"/>
      <c r="F59" s="45"/>
      <c r="G59" s="22"/>
      <c r="H59" s="45"/>
      <c r="I59" s="22" t="s">
        <v>385</v>
      </c>
      <c r="J59" s="53"/>
      <c r="K59" s="42"/>
      <c r="L59" s="22" t="s">
        <v>91</v>
      </c>
      <c r="M59" s="21" t="s">
        <v>386</v>
      </c>
      <c r="N59" s="17"/>
      <c r="O59" s="21" t="s">
        <v>387</v>
      </c>
      <c r="P59" s="21" t="s">
        <v>388</v>
      </c>
      <c r="Q59" s="7"/>
      <c r="R59" s="7"/>
      <c r="S59" s="7"/>
      <c r="T59" s="7"/>
      <c r="U59" s="7"/>
      <c r="V59" s="7"/>
      <c r="W59" s="7"/>
      <c r="X59" s="7"/>
      <c r="Y59" s="7"/>
      <c r="Z59" s="7"/>
      <c r="AA59" s="7"/>
      <c r="AB59" s="7"/>
      <c r="AC59" s="7"/>
      <c r="AD59" s="7"/>
      <c r="AE59" s="7"/>
    </row>
    <row r="60">
      <c r="A60" s="52" t="s">
        <v>389</v>
      </c>
      <c r="B60" s="31" t="s">
        <v>390</v>
      </c>
      <c r="C60" s="42" t="s">
        <v>391</v>
      </c>
      <c r="D60" s="41" t="s">
        <v>18</v>
      </c>
      <c r="E60" s="42"/>
      <c r="F60" s="42"/>
      <c r="G60" s="23"/>
      <c r="H60" s="42"/>
      <c r="I60" s="23" t="s">
        <v>392</v>
      </c>
      <c r="J60" s="23"/>
      <c r="K60" s="42"/>
      <c r="L60" s="23" t="s">
        <v>91</v>
      </c>
      <c r="M60" s="17"/>
      <c r="N60" s="7"/>
      <c r="O60" s="17"/>
      <c r="P60" s="17"/>
      <c r="Q60" s="7"/>
      <c r="R60" s="7"/>
      <c r="S60" s="7"/>
      <c r="T60" s="7"/>
      <c r="U60" s="7"/>
      <c r="V60" s="7"/>
      <c r="W60" s="7"/>
      <c r="X60" s="7"/>
      <c r="Y60" s="7"/>
      <c r="Z60" s="7"/>
      <c r="AA60" s="7"/>
      <c r="AB60" s="7"/>
      <c r="AC60" s="7"/>
      <c r="AD60" s="7"/>
      <c r="AE60" s="7"/>
    </row>
    <row r="61">
      <c r="A61" s="51" t="s">
        <v>393</v>
      </c>
      <c r="B61" s="29" t="s">
        <v>394</v>
      </c>
      <c r="C61" s="45">
        <v>1.0</v>
      </c>
      <c r="D61" s="21" t="s">
        <v>395</v>
      </c>
      <c r="E61" s="42" t="s">
        <v>53</v>
      </c>
      <c r="F61" s="42" t="s">
        <v>54</v>
      </c>
      <c r="G61" s="23"/>
      <c r="H61" s="42"/>
      <c r="I61" s="21" t="s">
        <v>396</v>
      </c>
      <c r="J61" s="23"/>
      <c r="K61" s="42"/>
      <c r="L61" s="22"/>
      <c r="M61" s="17"/>
      <c r="N61" s="17"/>
      <c r="O61" s="17"/>
      <c r="P61" s="17"/>
      <c r="Q61" s="7"/>
      <c r="R61" s="7"/>
      <c r="S61" s="7"/>
      <c r="T61" s="7"/>
      <c r="U61" s="7"/>
      <c r="V61" s="7"/>
      <c r="W61" s="7"/>
      <c r="X61" s="7"/>
      <c r="Y61" s="7"/>
      <c r="Z61" s="7"/>
      <c r="AA61" s="7"/>
      <c r="AB61" s="7"/>
      <c r="AC61" s="7"/>
      <c r="AD61" s="7"/>
      <c r="AE61" s="7"/>
    </row>
    <row r="62" ht="31.5" customHeight="1">
      <c r="A62" s="51" t="s">
        <v>397</v>
      </c>
      <c r="B62" s="29" t="s">
        <v>398</v>
      </c>
      <c r="C62" s="45" t="s">
        <v>292</v>
      </c>
      <c r="D62" s="21" t="s">
        <v>399</v>
      </c>
      <c r="E62" s="42"/>
      <c r="F62" s="45"/>
      <c r="G62" s="22" t="s">
        <v>400</v>
      </c>
      <c r="H62" s="45" t="s">
        <v>401</v>
      </c>
      <c r="I62" s="32" t="s">
        <v>402</v>
      </c>
      <c r="J62" s="22" t="s">
        <v>57</v>
      </c>
      <c r="K62" s="45" t="s">
        <v>57</v>
      </c>
      <c r="L62" s="22" t="s">
        <v>57</v>
      </c>
      <c r="M62" s="21" t="s">
        <v>403</v>
      </c>
      <c r="N62" s="33"/>
      <c r="O62" s="23" t="s">
        <v>404</v>
      </c>
      <c r="P62" s="23" t="s">
        <v>405</v>
      </c>
      <c r="Q62" s="7"/>
      <c r="R62" s="7"/>
      <c r="S62" s="7"/>
      <c r="T62" s="7"/>
      <c r="U62" s="7"/>
      <c r="V62" s="7"/>
      <c r="W62" s="7"/>
      <c r="X62" s="7"/>
      <c r="Y62" s="7"/>
      <c r="Z62" s="7"/>
      <c r="AA62" s="7"/>
      <c r="AB62" s="7"/>
      <c r="AC62" s="7"/>
      <c r="AD62" s="7"/>
      <c r="AE62" s="7"/>
    </row>
    <row r="63">
      <c r="A63" s="51" t="s">
        <v>406</v>
      </c>
      <c r="B63" s="29" t="s">
        <v>407</v>
      </c>
      <c r="C63" s="41">
        <v>1.0</v>
      </c>
      <c r="D63" s="21" t="s">
        <v>408</v>
      </c>
      <c r="E63" s="42"/>
      <c r="F63" s="42"/>
      <c r="G63" s="23"/>
      <c r="H63" s="42"/>
      <c r="I63" s="23" t="s">
        <v>409</v>
      </c>
      <c r="J63" s="23"/>
      <c r="K63" s="42"/>
      <c r="L63" s="22" t="s">
        <v>57</v>
      </c>
      <c r="M63" s="21" t="s">
        <v>410</v>
      </c>
      <c r="N63" s="17"/>
      <c r="O63" s="21" t="s">
        <v>411</v>
      </c>
      <c r="P63" s="21" t="s">
        <v>412</v>
      </c>
      <c r="Q63" s="7"/>
      <c r="R63" s="7"/>
      <c r="S63" s="7"/>
      <c r="T63" s="7"/>
      <c r="U63" s="7"/>
      <c r="V63" s="7"/>
      <c r="W63" s="7"/>
      <c r="X63" s="7"/>
      <c r="Y63" s="7"/>
      <c r="Z63" s="7"/>
      <c r="AA63" s="7"/>
      <c r="AB63" s="7"/>
      <c r="AC63" s="7"/>
      <c r="AD63" s="7"/>
      <c r="AE63" s="7"/>
    </row>
    <row r="64">
      <c r="A64" s="52" t="s">
        <v>413</v>
      </c>
      <c r="B64" s="31" t="s">
        <v>414</v>
      </c>
      <c r="C64" s="42">
        <v>2.0</v>
      </c>
      <c r="D64" s="21" t="s">
        <v>333</v>
      </c>
      <c r="E64" s="42" t="s">
        <v>53</v>
      </c>
      <c r="F64" s="42"/>
      <c r="G64" s="23"/>
      <c r="H64" s="42"/>
      <c r="I64" s="21" t="s">
        <v>415</v>
      </c>
      <c r="J64" s="23"/>
      <c r="K64" s="42"/>
      <c r="L64" s="23"/>
      <c r="M64" s="17"/>
      <c r="N64" s="17"/>
      <c r="O64" s="17"/>
      <c r="P64" s="17"/>
      <c r="Q64" s="7"/>
      <c r="R64" s="7"/>
      <c r="S64" s="7"/>
      <c r="T64" s="7"/>
      <c r="U64" s="7"/>
      <c r="V64" s="7"/>
      <c r="W64" s="7"/>
      <c r="X64" s="7"/>
      <c r="Y64" s="7"/>
      <c r="Z64" s="7"/>
      <c r="AA64" s="7"/>
      <c r="AB64" s="7"/>
      <c r="AC64" s="7"/>
      <c r="AD64" s="7"/>
      <c r="AE64" s="7"/>
    </row>
    <row r="65">
      <c r="A65" s="51" t="s">
        <v>416</v>
      </c>
      <c r="B65" s="29" t="s">
        <v>417</v>
      </c>
      <c r="C65" s="41">
        <v>2.0</v>
      </c>
      <c r="D65" s="21" t="s">
        <v>293</v>
      </c>
      <c r="E65" s="42"/>
      <c r="F65" s="42"/>
      <c r="G65" s="23"/>
      <c r="H65" s="42"/>
      <c r="I65" s="21" t="s">
        <v>418</v>
      </c>
      <c r="J65" s="23"/>
      <c r="K65" s="42"/>
      <c r="L65" s="22" t="s">
        <v>53</v>
      </c>
      <c r="M65" s="24"/>
      <c r="N65" s="54"/>
      <c r="O65" s="24"/>
      <c r="P65" s="16"/>
      <c r="Q65" s="7"/>
      <c r="R65" s="7"/>
      <c r="S65" s="7"/>
      <c r="T65" s="7"/>
      <c r="U65" s="7"/>
      <c r="V65" s="7"/>
      <c r="W65" s="7"/>
      <c r="X65" s="7"/>
      <c r="Y65" s="7"/>
      <c r="Z65" s="7"/>
      <c r="AA65" s="7"/>
      <c r="AB65" s="7"/>
      <c r="AC65" s="7"/>
      <c r="AD65" s="7"/>
      <c r="AE65" s="7"/>
    </row>
    <row r="66">
      <c r="A66" s="51" t="s">
        <v>419</v>
      </c>
      <c r="B66" s="29" t="s">
        <v>420</v>
      </c>
      <c r="C66" s="45">
        <v>2.0</v>
      </c>
      <c r="D66" s="21" t="s">
        <v>421</v>
      </c>
      <c r="E66" s="42"/>
      <c r="F66" s="45"/>
      <c r="G66" s="22"/>
      <c r="H66" s="45"/>
      <c r="I66" s="32" t="s">
        <v>422</v>
      </c>
      <c r="J66" s="22"/>
      <c r="K66" s="42"/>
      <c r="L66" s="22" t="s">
        <v>53</v>
      </c>
      <c r="M66" s="17"/>
      <c r="N66" s="7"/>
      <c r="O66" s="7"/>
      <c r="P66" s="17"/>
      <c r="Q66" s="7"/>
      <c r="R66" s="7"/>
      <c r="S66" s="7"/>
      <c r="T66" s="7"/>
      <c r="U66" s="7"/>
      <c r="V66" s="7"/>
      <c r="W66" s="7"/>
      <c r="X66" s="7"/>
      <c r="Y66" s="7"/>
      <c r="Z66" s="7"/>
      <c r="AA66" s="7"/>
      <c r="AB66" s="7"/>
      <c r="AC66" s="7"/>
      <c r="AD66" s="7"/>
      <c r="AE66" s="7"/>
    </row>
    <row r="67">
      <c r="A67" s="52" t="s">
        <v>423</v>
      </c>
      <c r="B67" s="31" t="s">
        <v>424</v>
      </c>
      <c r="C67" s="42">
        <v>1.0</v>
      </c>
      <c r="D67" s="21" t="s">
        <v>425</v>
      </c>
      <c r="E67" s="42"/>
      <c r="F67" s="42"/>
      <c r="G67" s="23"/>
      <c r="H67" s="42"/>
      <c r="I67" s="23" t="s">
        <v>426</v>
      </c>
      <c r="J67" s="23"/>
      <c r="K67" s="42"/>
      <c r="L67" s="23" t="s">
        <v>57</v>
      </c>
      <c r="M67" s="23"/>
      <c r="N67" s="7"/>
      <c r="O67" s="7"/>
      <c r="P67" s="7"/>
      <c r="Q67" s="7"/>
      <c r="R67" s="7"/>
      <c r="S67" s="7"/>
      <c r="T67" s="7"/>
      <c r="U67" s="7"/>
      <c r="V67" s="7"/>
      <c r="W67" s="7"/>
      <c r="X67" s="7"/>
      <c r="Y67" s="7"/>
      <c r="Z67" s="7"/>
      <c r="AA67" s="7"/>
      <c r="AB67" s="7"/>
      <c r="AC67" s="7"/>
      <c r="AD67" s="7"/>
      <c r="AE67" s="7"/>
    </row>
    <row r="68">
      <c r="A68" s="51" t="s">
        <v>427</v>
      </c>
      <c r="B68" s="29" t="s">
        <v>428</v>
      </c>
      <c r="C68" s="45">
        <v>2.0</v>
      </c>
      <c r="D68" s="21" t="s">
        <v>429</v>
      </c>
      <c r="E68" s="45" t="s">
        <v>430</v>
      </c>
      <c r="F68" s="42">
        <v>0.0</v>
      </c>
      <c r="G68" s="23" t="s">
        <v>431</v>
      </c>
      <c r="H68" s="42" t="s">
        <v>432</v>
      </c>
      <c r="I68" s="23" t="s">
        <v>433</v>
      </c>
      <c r="J68" s="22" t="s">
        <v>434</v>
      </c>
      <c r="K68" s="45" t="s">
        <v>434</v>
      </c>
      <c r="L68" s="23" t="s">
        <v>57</v>
      </c>
      <c r="M68" s="23" t="s">
        <v>435</v>
      </c>
      <c r="N68" s="45" t="s">
        <v>436</v>
      </c>
      <c r="O68" s="22" t="s">
        <v>437</v>
      </c>
      <c r="P68" s="23" t="s">
        <v>438</v>
      </c>
      <c r="Q68" s="7"/>
      <c r="R68" s="7"/>
      <c r="S68" s="7"/>
      <c r="T68" s="7"/>
      <c r="U68" s="7"/>
      <c r="V68" s="7"/>
      <c r="W68" s="7"/>
      <c r="X68" s="7"/>
      <c r="Y68" s="7"/>
      <c r="Z68" s="7"/>
      <c r="AA68" s="7"/>
      <c r="AB68" s="7"/>
      <c r="AC68" s="7"/>
      <c r="AD68" s="7"/>
      <c r="AE68" s="7"/>
    </row>
    <row r="69">
      <c r="A69" s="51" t="s">
        <v>439</v>
      </c>
      <c r="B69" s="29" t="s">
        <v>440</v>
      </c>
      <c r="C69" s="45">
        <v>1.0</v>
      </c>
      <c r="D69" s="21" t="s">
        <v>441</v>
      </c>
      <c r="E69" s="45"/>
      <c r="F69" s="42"/>
      <c r="G69" s="23"/>
      <c r="H69" s="42"/>
      <c r="I69" s="23" t="s">
        <v>442</v>
      </c>
      <c r="J69" s="22"/>
      <c r="K69" s="45"/>
      <c r="L69" s="23" t="s">
        <v>91</v>
      </c>
      <c r="M69" s="17"/>
      <c r="N69" s="7"/>
      <c r="O69" s="7"/>
      <c r="P69" s="17"/>
      <c r="Q69" s="7"/>
      <c r="R69" s="7"/>
      <c r="S69" s="7"/>
      <c r="T69" s="7"/>
      <c r="U69" s="7"/>
      <c r="V69" s="7"/>
      <c r="W69" s="7"/>
      <c r="X69" s="7"/>
      <c r="Y69" s="7"/>
      <c r="Z69" s="7"/>
      <c r="AA69" s="7"/>
      <c r="AB69" s="7"/>
      <c r="AC69" s="7"/>
      <c r="AD69" s="7"/>
      <c r="AE69" s="7"/>
    </row>
    <row r="70">
      <c r="A70" s="51" t="s">
        <v>443</v>
      </c>
      <c r="B70" s="29" t="s">
        <v>444</v>
      </c>
      <c r="C70" s="45">
        <v>2.0</v>
      </c>
      <c r="D70" s="21" t="s">
        <v>445</v>
      </c>
      <c r="E70" s="45" t="s">
        <v>57</v>
      </c>
      <c r="F70" s="42" t="s">
        <v>54</v>
      </c>
      <c r="G70" s="23" t="s">
        <v>446</v>
      </c>
      <c r="H70" s="42">
        <v>4.0</v>
      </c>
      <c r="I70" s="23" t="s">
        <v>447</v>
      </c>
      <c r="J70" s="23">
        <v>1.0</v>
      </c>
      <c r="K70" s="42" t="s">
        <v>57</v>
      </c>
      <c r="L70" s="22" t="s">
        <v>91</v>
      </c>
      <c r="M70" s="21" t="s">
        <v>448</v>
      </c>
      <c r="N70" s="33"/>
      <c r="O70" s="32" t="s">
        <v>449</v>
      </c>
      <c r="P70" s="32" t="s">
        <v>450</v>
      </c>
      <c r="Q70" s="7"/>
      <c r="R70" s="7"/>
      <c r="S70" s="7"/>
      <c r="T70" s="7"/>
      <c r="U70" s="7"/>
      <c r="V70" s="7"/>
      <c r="W70" s="7"/>
      <c r="X70" s="7"/>
      <c r="Y70" s="7"/>
      <c r="Z70" s="7"/>
      <c r="AA70" s="7"/>
      <c r="AB70" s="7"/>
      <c r="AC70" s="7"/>
      <c r="AD70" s="7"/>
      <c r="AE70" s="7"/>
    </row>
    <row r="71">
      <c r="A71" s="51" t="s">
        <v>451</v>
      </c>
      <c r="B71" s="29" t="s">
        <v>452</v>
      </c>
      <c r="C71" s="45">
        <v>2.0</v>
      </c>
      <c r="D71" s="21" t="s">
        <v>453</v>
      </c>
      <c r="E71" s="45"/>
      <c r="F71" s="42">
        <v>0.0</v>
      </c>
      <c r="G71" s="23"/>
      <c r="H71" s="42"/>
      <c r="I71" s="23" t="s">
        <v>454</v>
      </c>
      <c r="J71" s="23" t="s">
        <v>455</v>
      </c>
      <c r="K71" s="42"/>
      <c r="L71" s="22" t="s">
        <v>91</v>
      </c>
      <c r="M71" s="32" t="s">
        <v>456</v>
      </c>
      <c r="N71" s="55"/>
      <c r="O71" s="32"/>
      <c r="P71" s="32"/>
      <c r="Q71" s="7"/>
      <c r="R71" s="7"/>
      <c r="S71" s="7"/>
      <c r="T71" s="7"/>
      <c r="U71" s="7"/>
      <c r="V71" s="7"/>
      <c r="W71" s="7"/>
      <c r="X71" s="7"/>
      <c r="Y71" s="7"/>
      <c r="Z71" s="7"/>
      <c r="AA71" s="7"/>
      <c r="AB71" s="7"/>
      <c r="AC71" s="7"/>
      <c r="AD71" s="7"/>
      <c r="AE71" s="7"/>
    </row>
    <row r="72">
      <c r="A72" s="51" t="s">
        <v>457</v>
      </c>
      <c r="B72" s="29" t="s">
        <v>458</v>
      </c>
      <c r="C72" s="45">
        <v>1.0</v>
      </c>
      <c r="D72" s="41" t="s">
        <v>50</v>
      </c>
      <c r="E72" s="45" t="s">
        <v>459</v>
      </c>
      <c r="F72" s="45">
        <v>3.0</v>
      </c>
      <c r="G72" s="22" t="s">
        <v>460</v>
      </c>
      <c r="H72" s="45" t="s">
        <v>461</v>
      </c>
      <c r="I72" s="23" t="s">
        <v>462</v>
      </c>
      <c r="J72" s="22">
        <v>6.0</v>
      </c>
      <c r="K72" s="45" t="s">
        <v>463</v>
      </c>
      <c r="L72" s="22" t="s">
        <v>57</v>
      </c>
      <c r="M72" s="23" t="s">
        <v>464</v>
      </c>
      <c r="N72" s="45" t="s">
        <v>54</v>
      </c>
      <c r="O72" s="23" t="s">
        <v>465</v>
      </c>
      <c r="P72" s="23" t="s">
        <v>466</v>
      </c>
      <c r="Q72" s="7"/>
      <c r="R72" s="7"/>
      <c r="S72" s="7"/>
      <c r="T72" s="7"/>
      <c r="U72" s="7"/>
      <c r="V72" s="7"/>
      <c r="W72" s="7"/>
      <c r="X72" s="7"/>
      <c r="Y72" s="7"/>
      <c r="Z72" s="7"/>
      <c r="AA72" s="7"/>
      <c r="AB72" s="7"/>
      <c r="AC72" s="7"/>
      <c r="AD72" s="7"/>
      <c r="AE72" s="7"/>
    </row>
    <row r="73">
      <c r="A73" s="51" t="s">
        <v>467</v>
      </c>
      <c r="B73" s="31" t="s">
        <v>468</v>
      </c>
      <c r="C73" s="45">
        <v>2.0</v>
      </c>
      <c r="D73" s="41" t="s">
        <v>89</v>
      </c>
      <c r="E73" s="45" t="s">
        <v>53</v>
      </c>
      <c r="F73" s="42">
        <v>0.0</v>
      </c>
      <c r="G73" s="23">
        <v>0.0</v>
      </c>
      <c r="H73" s="42">
        <v>4.0</v>
      </c>
      <c r="I73" s="23" t="s">
        <v>469</v>
      </c>
      <c r="J73" s="23">
        <v>0.0</v>
      </c>
      <c r="K73" s="42">
        <v>1.0</v>
      </c>
      <c r="L73" s="22" t="s">
        <v>53</v>
      </c>
      <c r="M73" s="23" t="s">
        <v>470</v>
      </c>
      <c r="N73" s="42" t="s">
        <v>471</v>
      </c>
      <c r="O73" s="23" t="s">
        <v>472</v>
      </c>
      <c r="P73" s="23" t="s">
        <v>473</v>
      </c>
      <c r="Q73" s="7"/>
      <c r="R73" s="7"/>
      <c r="S73" s="7"/>
      <c r="T73" s="7"/>
      <c r="U73" s="7"/>
      <c r="V73" s="7"/>
      <c r="W73" s="7"/>
      <c r="X73" s="7"/>
      <c r="Y73" s="7"/>
      <c r="Z73" s="7"/>
      <c r="AA73" s="7"/>
      <c r="AB73" s="7"/>
      <c r="AC73" s="7"/>
      <c r="AD73" s="7"/>
      <c r="AE73" s="7"/>
    </row>
    <row r="74">
      <c r="A74" s="51" t="s">
        <v>474</v>
      </c>
      <c r="B74" s="29" t="s">
        <v>475</v>
      </c>
      <c r="C74" s="45">
        <v>1.0</v>
      </c>
      <c r="D74" s="21" t="s">
        <v>89</v>
      </c>
      <c r="E74" s="45"/>
      <c r="F74" s="42" t="s">
        <v>54</v>
      </c>
      <c r="G74" s="23" t="s">
        <v>476</v>
      </c>
      <c r="H74" s="42">
        <v>1.9</v>
      </c>
      <c r="I74" s="23" t="s">
        <v>477</v>
      </c>
      <c r="J74" s="23" t="s">
        <v>54</v>
      </c>
      <c r="K74" s="42" t="s">
        <v>57</v>
      </c>
      <c r="L74" s="23" t="s">
        <v>151</v>
      </c>
      <c r="M74" s="23" t="s">
        <v>58</v>
      </c>
      <c r="N74" s="42" t="s">
        <v>471</v>
      </c>
      <c r="O74" s="23" t="s">
        <v>478</v>
      </c>
      <c r="P74" s="23" t="s">
        <v>479</v>
      </c>
      <c r="Q74" s="7"/>
      <c r="R74" s="7"/>
      <c r="S74" s="7"/>
      <c r="T74" s="7"/>
      <c r="U74" s="7"/>
      <c r="V74" s="7"/>
      <c r="W74" s="7"/>
      <c r="X74" s="7"/>
      <c r="Y74" s="7"/>
      <c r="Z74" s="7"/>
      <c r="AA74" s="7"/>
      <c r="AB74" s="7"/>
      <c r="AC74" s="7"/>
      <c r="AD74" s="7"/>
      <c r="AE74" s="7"/>
    </row>
    <row r="75">
      <c r="A75" s="51" t="s">
        <v>480</v>
      </c>
      <c r="B75" s="20" t="s">
        <v>481</v>
      </c>
      <c r="C75" s="41">
        <v>1.0</v>
      </c>
      <c r="D75" s="41" t="s">
        <v>191</v>
      </c>
      <c r="E75" s="45"/>
      <c r="F75" s="42"/>
      <c r="G75" s="23"/>
      <c r="H75" s="42"/>
      <c r="I75" s="23" t="s">
        <v>482</v>
      </c>
      <c r="J75" s="23"/>
      <c r="K75" s="42"/>
      <c r="L75" s="23" t="s">
        <v>57</v>
      </c>
      <c r="M75" s="17"/>
      <c r="N75" s="17"/>
      <c r="O75" s="17"/>
      <c r="P75" s="17"/>
      <c r="Q75" s="7"/>
      <c r="R75" s="7"/>
      <c r="S75" s="7"/>
      <c r="T75" s="7"/>
      <c r="U75" s="7"/>
      <c r="V75" s="7"/>
      <c r="W75" s="7"/>
      <c r="X75" s="7"/>
      <c r="Y75" s="7"/>
      <c r="Z75" s="7"/>
      <c r="AA75" s="7"/>
      <c r="AB75" s="7"/>
      <c r="AC75" s="7"/>
      <c r="AD75" s="7"/>
      <c r="AE75" s="7"/>
    </row>
    <row r="76">
      <c r="A76" s="51" t="s">
        <v>483</v>
      </c>
      <c r="B76" s="29" t="s">
        <v>484</v>
      </c>
      <c r="C76" s="45">
        <v>1.0</v>
      </c>
      <c r="D76" s="21" t="s">
        <v>485</v>
      </c>
      <c r="E76" s="45" t="s">
        <v>57</v>
      </c>
      <c r="F76" s="45">
        <v>1.0</v>
      </c>
      <c r="G76" s="22" t="s">
        <v>486</v>
      </c>
      <c r="H76" s="45">
        <v>4.0</v>
      </c>
      <c r="I76" s="22" t="s">
        <v>487</v>
      </c>
      <c r="J76" s="22" t="s">
        <v>54</v>
      </c>
      <c r="K76" s="45" t="s">
        <v>57</v>
      </c>
      <c r="L76" s="22" t="s">
        <v>57</v>
      </c>
      <c r="M76" s="24" t="s">
        <v>488</v>
      </c>
      <c r="N76" s="54" t="s">
        <v>408</v>
      </c>
      <c r="O76" s="24" t="s">
        <v>489</v>
      </c>
      <c r="P76" s="17"/>
      <c r="Q76" s="7"/>
      <c r="R76" s="7"/>
      <c r="S76" s="7"/>
      <c r="T76" s="7"/>
      <c r="U76" s="7"/>
      <c r="V76" s="7"/>
      <c r="W76" s="7"/>
      <c r="X76" s="7"/>
      <c r="Y76" s="7"/>
      <c r="Z76" s="7"/>
      <c r="AA76" s="7"/>
      <c r="AB76" s="7"/>
      <c r="AC76" s="7"/>
      <c r="AD76" s="7"/>
      <c r="AE76" s="7"/>
    </row>
    <row r="77">
      <c r="A77" s="51" t="s">
        <v>490</v>
      </c>
      <c r="B77" s="29" t="s">
        <v>491</v>
      </c>
      <c r="C77" s="45" t="s">
        <v>33</v>
      </c>
      <c r="D77" s="21" t="s">
        <v>492</v>
      </c>
      <c r="E77" s="45" t="s">
        <v>53</v>
      </c>
      <c r="F77" s="45"/>
      <c r="G77" s="22"/>
      <c r="H77" s="55">
        <v>43498.0</v>
      </c>
      <c r="I77" s="23" t="s">
        <v>493</v>
      </c>
      <c r="J77" s="23" t="s">
        <v>494</v>
      </c>
      <c r="K77" s="42" t="s">
        <v>57</v>
      </c>
      <c r="L77" s="22" t="s">
        <v>57</v>
      </c>
      <c r="M77" s="24" t="s">
        <v>495</v>
      </c>
      <c r="N77" s="54" t="s">
        <v>57</v>
      </c>
      <c r="O77" s="24" t="s">
        <v>496</v>
      </c>
      <c r="P77" s="24" t="s">
        <v>497</v>
      </c>
      <c r="Q77" s="7"/>
      <c r="R77" s="7"/>
      <c r="S77" s="7"/>
      <c r="T77" s="7"/>
      <c r="U77" s="7"/>
      <c r="V77" s="7"/>
      <c r="W77" s="7"/>
      <c r="X77" s="7"/>
      <c r="Y77" s="7"/>
      <c r="Z77" s="7"/>
      <c r="AA77" s="7"/>
      <c r="AB77" s="7"/>
      <c r="AC77" s="7"/>
      <c r="AD77" s="7"/>
      <c r="AE77" s="7"/>
    </row>
    <row r="78">
      <c r="A78" s="51" t="s">
        <v>498</v>
      </c>
      <c r="B78" s="29" t="s">
        <v>499</v>
      </c>
      <c r="C78" s="45">
        <v>2.0</v>
      </c>
      <c r="D78" s="41" t="s">
        <v>116</v>
      </c>
      <c r="E78" s="45"/>
      <c r="F78" s="42"/>
      <c r="G78" s="23"/>
      <c r="H78" s="42"/>
      <c r="I78" s="23" t="s">
        <v>500</v>
      </c>
      <c r="J78" s="23"/>
      <c r="K78" s="42"/>
      <c r="L78" s="23" t="s">
        <v>57</v>
      </c>
      <c r="M78" s="17"/>
      <c r="N78" s="17"/>
      <c r="O78" s="17"/>
      <c r="P78" s="17"/>
      <c r="Q78" s="7"/>
      <c r="R78" s="7"/>
      <c r="S78" s="7"/>
      <c r="T78" s="7"/>
      <c r="U78" s="7"/>
      <c r="V78" s="7"/>
      <c r="W78" s="7"/>
      <c r="X78" s="7"/>
      <c r="Y78" s="7"/>
      <c r="Z78" s="7"/>
      <c r="AA78" s="7"/>
      <c r="AB78" s="7"/>
      <c r="AC78" s="7"/>
      <c r="AD78" s="7"/>
      <c r="AE78" s="7"/>
    </row>
    <row r="79">
      <c r="A79" s="51" t="s">
        <v>501</v>
      </c>
      <c r="B79" s="29" t="s">
        <v>502</v>
      </c>
      <c r="C79" s="45">
        <v>2.0</v>
      </c>
      <c r="D79" s="41" t="s">
        <v>408</v>
      </c>
      <c r="E79" s="45"/>
      <c r="F79" s="42"/>
      <c r="G79" s="23"/>
      <c r="H79" s="45"/>
      <c r="I79" s="23" t="s">
        <v>503</v>
      </c>
      <c r="J79" s="23"/>
      <c r="K79" s="42"/>
      <c r="L79" s="22" t="s">
        <v>53</v>
      </c>
      <c r="M79" s="17"/>
      <c r="N79" s="7"/>
      <c r="O79" s="17"/>
      <c r="P79" s="17"/>
      <c r="Q79" s="7"/>
      <c r="R79" s="7"/>
      <c r="S79" s="7"/>
      <c r="T79" s="7"/>
      <c r="U79" s="7"/>
      <c r="V79" s="7"/>
      <c r="W79" s="7"/>
      <c r="X79" s="7"/>
      <c r="Y79" s="7"/>
      <c r="Z79" s="7"/>
      <c r="AA79" s="7"/>
      <c r="AB79" s="7"/>
      <c r="AC79" s="7"/>
      <c r="AD79" s="7"/>
      <c r="AE79" s="7"/>
    </row>
    <row r="80">
      <c r="A80" s="51" t="s">
        <v>504</v>
      </c>
      <c r="B80" s="29" t="s">
        <v>505</v>
      </c>
      <c r="C80" s="45">
        <v>2.0</v>
      </c>
      <c r="D80" s="41" t="s">
        <v>116</v>
      </c>
      <c r="E80" s="45"/>
      <c r="F80" s="45"/>
      <c r="G80" s="29"/>
      <c r="H80" s="45"/>
      <c r="I80" s="23" t="s">
        <v>506</v>
      </c>
      <c r="J80" s="29"/>
      <c r="K80" s="45"/>
      <c r="L80" s="22" t="s">
        <v>57</v>
      </c>
      <c r="M80" s="22"/>
      <c r="N80" s="45"/>
      <c r="O80" s="22"/>
      <c r="P80" s="23"/>
      <c r="Q80" s="7"/>
      <c r="R80" s="7"/>
      <c r="S80" s="7"/>
      <c r="T80" s="7"/>
      <c r="U80" s="7"/>
      <c r="V80" s="7"/>
      <c r="W80" s="7"/>
      <c r="X80" s="7"/>
      <c r="Y80" s="7"/>
      <c r="Z80" s="7"/>
      <c r="AA80" s="7"/>
      <c r="AB80" s="7"/>
      <c r="AC80" s="7"/>
      <c r="AD80" s="7"/>
      <c r="AE80" s="7"/>
    </row>
    <row r="81">
      <c r="A81" s="51" t="s">
        <v>507</v>
      </c>
      <c r="B81" s="29" t="s">
        <v>508</v>
      </c>
      <c r="C81" s="45">
        <v>1.0</v>
      </c>
      <c r="D81" s="21" t="s">
        <v>509</v>
      </c>
      <c r="E81" s="45"/>
      <c r="F81" s="42"/>
      <c r="G81" s="17"/>
      <c r="H81" s="42"/>
      <c r="I81" s="23" t="s">
        <v>510</v>
      </c>
      <c r="J81" s="7"/>
      <c r="K81" s="45"/>
      <c r="L81" s="22" t="s">
        <v>57</v>
      </c>
      <c r="M81" s="23"/>
      <c r="N81" s="42"/>
      <c r="O81" s="23"/>
      <c r="P81" s="23"/>
      <c r="Q81" s="7"/>
      <c r="R81" s="7"/>
      <c r="S81" s="7"/>
      <c r="T81" s="7"/>
      <c r="U81" s="7"/>
      <c r="V81" s="7"/>
      <c r="W81" s="7"/>
      <c r="X81" s="7"/>
      <c r="Y81" s="7"/>
      <c r="Z81" s="7"/>
      <c r="AA81" s="7"/>
      <c r="AB81" s="7"/>
      <c r="AC81" s="7"/>
      <c r="AD81" s="7"/>
      <c r="AE81" s="7"/>
    </row>
    <row r="82">
      <c r="A82" s="51" t="s">
        <v>511</v>
      </c>
      <c r="B82" s="29" t="s">
        <v>512</v>
      </c>
      <c r="C82" s="45">
        <v>2.0</v>
      </c>
      <c r="D82" s="21" t="s">
        <v>293</v>
      </c>
      <c r="E82" s="45"/>
      <c r="F82" s="42"/>
      <c r="G82" s="17"/>
      <c r="H82" s="42"/>
      <c r="I82" s="23" t="s">
        <v>513</v>
      </c>
      <c r="J82" s="17"/>
      <c r="K82" s="42"/>
      <c r="L82" s="23" t="s">
        <v>151</v>
      </c>
      <c r="M82" s="21" t="s">
        <v>514</v>
      </c>
      <c r="N82" s="17"/>
      <c r="O82" s="21" t="s">
        <v>515</v>
      </c>
      <c r="P82" s="21" t="s">
        <v>516</v>
      </c>
      <c r="Q82" s="7"/>
      <c r="R82" s="7"/>
      <c r="S82" s="7"/>
      <c r="T82" s="7"/>
      <c r="U82" s="7"/>
      <c r="V82" s="7"/>
      <c r="W82" s="7"/>
      <c r="X82" s="7"/>
      <c r="Y82" s="7"/>
      <c r="Z82" s="7"/>
      <c r="AA82" s="7"/>
      <c r="AB82" s="7"/>
      <c r="AC82" s="7"/>
      <c r="AD82" s="7"/>
      <c r="AE82" s="7"/>
    </row>
    <row r="83">
      <c r="A83" s="51" t="s">
        <v>517</v>
      </c>
      <c r="B83" s="29" t="s">
        <v>518</v>
      </c>
      <c r="C83" s="41">
        <v>1.0</v>
      </c>
      <c r="D83" s="21" t="s">
        <v>45</v>
      </c>
      <c r="E83" s="45" t="s">
        <v>53</v>
      </c>
      <c r="F83" s="42" t="s">
        <v>57</v>
      </c>
      <c r="G83" s="7"/>
      <c r="H83" s="42">
        <v>6.0</v>
      </c>
      <c r="I83" s="23" t="s">
        <v>519</v>
      </c>
      <c r="J83" s="23" t="s">
        <v>57</v>
      </c>
      <c r="K83" s="45" t="s">
        <v>57</v>
      </c>
      <c r="L83" s="22" t="s">
        <v>57</v>
      </c>
      <c r="M83" s="23" t="s">
        <v>520</v>
      </c>
      <c r="N83" s="7"/>
      <c r="O83" s="7"/>
      <c r="P83" s="23" t="s">
        <v>521</v>
      </c>
      <c r="Q83" s="7"/>
      <c r="R83" s="7"/>
      <c r="S83" s="7"/>
      <c r="T83" s="7"/>
      <c r="U83" s="7"/>
      <c r="V83" s="7"/>
      <c r="W83" s="7"/>
      <c r="X83" s="7"/>
      <c r="Y83" s="7"/>
      <c r="Z83" s="7"/>
      <c r="AA83" s="7"/>
      <c r="AB83" s="7"/>
      <c r="AC83" s="7"/>
      <c r="AD83" s="7"/>
      <c r="AE83" s="7"/>
    </row>
    <row r="84">
      <c r="A84" s="52" t="s">
        <v>522</v>
      </c>
      <c r="B84" s="31" t="s">
        <v>523</v>
      </c>
      <c r="C84" s="42">
        <v>2.0</v>
      </c>
      <c r="D84" s="21" t="s">
        <v>485</v>
      </c>
      <c r="E84" s="45" t="s">
        <v>53</v>
      </c>
      <c r="F84" s="45"/>
      <c r="G84" s="7"/>
      <c r="H84" s="45"/>
      <c r="I84" s="21" t="s">
        <v>524</v>
      </c>
      <c r="J84" s="22"/>
      <c r="K84" s="42"/>
      <c r="L84" s="22"/>
      <c r="M84" s="23"/>
      <c r="N84" s="7"/>
      <c r="O84" s="17"/>
      <c r="P84" s="23"/>
      <c r="Q84" s="7"/>
      <c r="R84" s="7"/>
      <c r="S84" s="7"/>
      <c r="T84" s="7"/>
      <c r="U84" s="7"/>
      <c r="V84" s="7"/>
      <c r="W84" s="7"/>
      <c r="X84" s="7"/>
      <c r="Y84" s="7"/>
      <c r="Z84" s="7"/>
      <c r="AA84" s="7"/>
      <c r="AB84" s="7"/>
      <c r="AC84" s="7"/>
      <c r="AD84" s="7"/>
      <c r="AE84" s="7"/>
    </row>
    <row r="85">
      <c r="A85" s="51" t="s">
        <v>525</v>
      </c>
      <c r="B85" s="29" t="s">
        <v>526</v>
      </c>
      <c r="C85" s="45">
        <v>1.0</v>
      </c>
      <c r="D85" s="21" t="s">
        <v>288</v>
      </c>
      <c r="E85" s="45"/>
      <c r="F85" s="56"/>
      <c r="G85" s="7"/>
      <c r="H85" s="56"/>
      <c r="I85" s="21" t="s">
        <v>527</v>
      </c>
      <c r="J85" s="57"/>
      <c r="K85" s="58"/>
      <c r="L85" s="57"/>
      <c r="M85" s="59"/>
      <c r="N85" s="7"/>
      <c r="O85" s="17"/>
      <c r="P85" s="59"/>
      <c r="Q85" s="7"/>
      <c r="R85" s="7"/>
      <c r="S85" s="7"/>
      <c r="T85" s="7"/>
      <c r="U85" s="7"/>
      <c r="V85" s="7"/>
      <c r="W85" s="7"/>
      <c r="X85" s="7"/>
      <c r="Y85" s="7"/>
      <c r="Z85" s="7"/>
      <c r="AA85" s="7"/>
      <c r="AB85" s="7"/>
      <c r="AC85" s="7"/>
      <c r="AD85" s="7"/>
      <c r="AE85" s="7"/>
    </row>
    <row r="86">
      <c r="A86" s="52" t="s">
        <v>528</v>
      </c>
      <c r="B86" s="31" t="s">
        <v>529</v>
      </c>
      <c r="C86" s="42">
        <v>1.0</v>
      </c>
      <c r="D86" s="21" t="s">
        <v>35</v>
      </c>
      <c r="E86" s="42" t="s">
        <v>53</v>
      </c>
      <c r="F86" s="58"/>
      <c r="G86" s="17"/>
      <c r="H86" s="58"/>
      <c r="I86" s="21" t="s">
        <v>530</v>
      </c>
      <c r="J86" s="59"/>
      <c r="K86" s="58"/>
      <c r="L86" s="59"/>
      <c r="M86" s="59"/>
      <c r="N86" s="33"/>
      <c r="O86" s="17"/>
      <c r="P86" s="59"/>
      <c r="Q86" s="7"/>
      <c r="R86" s="7"/>
      <c r="S86" s="7"/>
      <c r="T86" s="7"/>
      <c r="U86" s="7"/>
      <c r="V86" s="7"/>
      <c r="W86" s="7"/>
      <c r="X86" s="7"/>
      <c r="Y86" s="7"/>
      <c r="Z86" s="7"/>
      <c r="AA86" s="7"/>
      <c r="AB86" s="7"/>
      <c r="AC86" s="7"/>
      <c r="AD86" s="7"/>
      <c r="AE86" s="7"/>
    </row>
    <row r="87">
      <c r="A87" s="60" t="s">
        <v>531</v>
      </c>
      <c r="B87" s="20" t="s">
        <v>532</v>
      </c>
      <c r="C87" s="41">
        <v>2.0</v>
      </c>
      <c r="D87" s="21" t="s">
        <v>116</v>
      </c>
      <c r="E87" s="42"/>
      <c r="F87" s="42"/>
      <c r="G87" s="17"/>
      <c r="H87" s="42"/>
      <c r="I87" s="21" t="s">
        <v>533</v>
      </c>
      <c r="J87" s="23"/>
      <c r="K87" s="42"/>
      <c r="L87" s="23"/>
      <c r="M87" s="23"/>
      <c r="N87" s="33"/>
      <c r="O87" s="17"/>
      <c r="P87" s="23"/>
      <c r="Q87" s="7"/>
      <c r="R87" s="7"/>
      <c r="S87" s="7"/>
      <c r="T87" s="7"/>
      <c r="U87" s="7"/>
      <c r="V87" s="7"/>
      <c r="W87" s="7"/>
      <c r="X87" s="7"/>
      <c r="Y87" s="7"/>
      <c r="Z87" s="7"/>
      <c r="AA87" s="7"/>
      <c r="AB87" s="7"/>
      <c r="AC87" s="7"/>
      <c r="AD87" s="7"/>
      <c r="AE87" s="7"/>
    </row>
    <row r="88">
      <c r="A88" s="60" t="s">
        <v>534</v>
      </c>
      <c r="B88" s="20" t="s">
        <v>535</v>
      </c>
      <c r="C88" s="41">
        <v>2.0</v>
      </c>
      <c r="D88" s="21" t="s">
        <v>536</v>
      </c>
      <c r="E88" s="42"/>
      <c r="F88" s="42"/>
      <c r="G88" s="17"/>
      <c r="H88" s="42"/>
      <c r="I88" s="21" t="s">
        <v>537</v>
      </c>
      <c r="J88" s="23"/>
      <c r="K88" s="42"/>
      <c r="L88" s="23"/>
      <c r="M88" s="23"/>
      <c r="N88" s="33"/>
      <c r="O88" s="17"/>
      <c r="P88" s="23"/>
      <c r="Q88" s="7"/>
      <c r="R88" s="7"/>
      <c r="S88" s="7"/>
      <c r="T88" s="7"/>
      <c r="U88" s="7"/>
      <c r="V88" s="7"/>
      <c r="W88" s="7"/>
      <c r="X88" s="7"/>
      <c r="Y88" s="7"/>
      <c r="Z88" s="7"/>
      <c r="AA88" s="7"/>
      <c r="AB88" s="7"/>
      <c r="AC88" s="7"/>
      <c r="AD88" s="7"/>
      <c r="AE88" s="7"/>
    </row>
    <row r="89">
      <c r="A89" s="61" t="s">
        <v>538</v>
      </c>
      <c r="B89" s="31" t="s">
        <v>539</v>
      </c>
      <c r="C89" s="42">
        <v>2.0</v>
      </c>
      <c r="D89" s="21" t="s">
        <v>50</v>
      </c>
      <c r="E89" s="42"/>
      <c r="F89" s="42"/>
      <c r="G89" s="17"/>
      <c r="H89" s="42"/>
      <c r="I89" s="23" t="s">
        <v>540</v>
      </c>
      <c r="J89" s="23"/>
      <c r="K89" s="42"/>
      <c r="L89" s="23" t="s">
        <v>57</v>
      </c>
      <c r="M89" s="33"/>
      <c r="N89" s="33"/>
      <c r="O89" s="33"/>
      <c r="P89" s="33"/>
      <c r="Q89" s="7"/>
      <c r="R89" s="7"/>
      <c r="S89" s="7"/>
      <c r="T89" s="7"/>
      <c r="U89" s="7"/>
      <c r="V89" s="7"/>
      <c r="W89" s="7"/>
      <c r="X89" s="7"/>
      <c r="Y89" s="7"/>
      <c r="Z89" s="7"/>
      <c r="AA89" s="7"/>
      <c r="AB89" s="7"/>
      <c r="AC89" s="7"/>
      <c r="AD89" s="7"/>
      <c r="AE89" s="7"/>
    </row>
    <row r="90">
      <c r="A90" s="61" t="s">
        <v>541</v>
      </c>
      <c r="B90" s="31" t="s">
        <v>542</v>
      </c>
      <c r="C90" s="42">
        <v>2.0</v>
      </c>
      <c r="D90" s="21" t="s">
        <v>421</v>
      </c>
      <c r="E90" s="42" t="s">
        <v>53</v>
      </c>
      <c r="F90" s="42" t="s">
        <v>221</v>
      </c>
      <c r="G90" s="23" t="s">
        <v>543</v>
      </c>
      <c r="H90" s="42">
        <v>6.0</v>
      </c>
      <c r="I90" s="23" t="s">
        <v>544</v>
      </c>
      <c r="J90" s="23" t="s">
        <v>221</v>
      </c>
      <c r="K90" s="42" t="s">
        <v>57</v>
      </c>
      <c r="L90" s="23" t="s">
        <v>53</v>
      </c>
      <c r="M90" s="46" t="s">
        <v>545</v>
      </c>
      <c r="N90" s="33"/>
      <c r="O90" s="46" t="s">
        <v>546</v>
      </c>
      <c r="P90" s="46" t="s">
        <v>547</v>
      </c>
      <c r="Q90" s="7"/>
      <c r="R90" s="7"/>
      <c r="S90" s="7"/>
      <c r="T90" s="7"/>
      <c r="U90" s="7"/>
      <c r="V90" s="7"/>
      <c r="W90" s="7"/>
      <c r="X90" s="7"/>
      <c r="Y90" s="7"/>
      <c r="Z90" s="7"/>
      <c r="AA90" s="7"/>
      <c r="AB90" s="7"/>
      <c r="AC90" s="7"/>
      <c r="AD90" s="7"/>
      <c r="AE90" s="7"/>
    </row>
    <row r="91">
      <c r="A91" s="62" t="s">
        <v>548</v>
      </c>
      <c r="B91" s="29" t="s">
        <v>549</v>
      </c>
      <c r="C91" s="45">
        <v>2.0</v>
      </c>
      <c r="D91" s="41" t="s">
        <v>550</v>
      </c>
      <c r="E91" s="45"/>
      <c r="F91" s="45"/>
      <c r="G91" s="7"/>
      <c r="H91" s="45"/>
      <c r="I91" s="23" t="s">
        <v>551</v>
      </c>
      <c r="J91" s="7"/>
      <c r="K91" s="45"/>
      <c r="L91" s="7" t="s">
        <v>57</v>
      </c>
      <c r="M91" s="17"/>
      <c r="N91" s="17"/>
      <c r="O91" s="17"/>
      <c r="P91" s="17"/>
      <c r="Q91" s="7"/>
      <c r="R91" s="7"/>
      <c r="S91" s="7"/>
      <c r="T91" s="7"/>
      <c r="U91" s="7"/>
      <c r="V91" s="7"/>
      <c r="W91" s="7"/>
      <c r="X91" s="7"/>
      <c r="Y91" s="7"/>
      <c r="Z91" s="7"/>
      <c r="AA91" s="7"/>
      <c r="AB91" s="7"/>
      <c r="AC91" s="7"/>
      <c r="AD91" s="7"/>
      <c r="AE91" s="7"/>
    </row>
    <row r="92">
      <c r="A92" s="62" t="s">
        <v>552</v>
      </c>
      <c r="B92" s="29" t="s">
        <v>553</v>
      </c>
      <c r="C92" s="45" t="s">
        <v>33</v>
      </c>
      <c r="D92" s="41" t="s">
        <v>550</v>
      </c>
      <c r="E92" s="45" t="s">
        <v>53</v>
      </c>
      <c r="F92" s="45">
        <v>0.0</v>
      </c>
      <c r="G92" s="22" t="s">
        <v>554</v>
      </c>
      <c r="H92" s="45">
        <v>8.0</v>
      </c>
      <c r="I92" s="23" t="s">
        <v>555</v>
      </c>
      <c r="J92" s="22" t="s">
        <v>556</v>
      </c>
      <c r="K92" s="45" t="s">
        <v>57</v>
      </c>
      <c r="L92" s="22" t="s">
        <v>57</v>
      </c>
      <c r="M92" s="21" t="s">
        <v>557</v>
      </c>
      <c r="N92" s="45" t="s">
        <v>558</v>
      </c>
      <c r="O92" s="23" t="s">
        <v>559</v>
      </c>
      <c r="P92" s="21" t="s">
        <v>560</v>
      </c>
      <c r="Q92" s="7"/>
      <c r="R92" s="7"/>
      <c r="S92" s="7"/>
      <c r="T92" s="7"/>
      <c r="U92" s="7"/>
      <c r="V92" s="7"/>
      <c r="W92" s="7"/>
      <c r="X92" s="7"/>
      <c r="Y92" s="7"/>
      <c r="Z92" s="7"/>
      <c r="AA92" s="7"/>
      <c r="AB92" s="7"/>
      <c r="AC92" s="7"/>
      <c r="AD92" s="7"/>
      <c r="AE92" s="7"/>
    </row>
    <row r="93">
      <c r="A93" s="62" t="s">
        <v>561</v>
      </c>
      <c r="B93" s="29" t="s">
        <v>562</v>
      </c>
      <c r="C93" s="45">
        <v>1.0</v>
      </c>
      <c r="D93" s="21" t="s">
        <v>563</v>
      </c>
      <c r="E93" s="45" t="s">
        <v>53</v>
      </c>
      <c r="F93" s="45">
        <v>0.0</v>
      </c>
      <c r="G93" s="22" t="s">
        <v>564</v>
      </c>
      <c r="H93" s="45">
        <v>3.0</v>
      </c>
      <c r="I93" s="23" t="s">
        <v>565</v>
      </c>
      <c r="J93" s="22" t="s">
        <v>556</v>
      </c>
      <c r="K93" s="45" t="s">
        <v>57</v>
      </c>
      <c r="L93" s="22" t="s">
        <v>57</v>
      </c>
      <c r="M93" s="23" t="s">
        <v>566</v>
      </c>
      <c r="N93" s="45" t="s">
        <v>567</v>
      </c>
      <c r="O93" s="23" t="s">
        <v>568</v>
      </c>
      <c r="P93" s="23" t="s">
        <v>569</v>
      </c>
      <c r="Q93" s="7"/>
      <c r="R93" s="7"/>
      <c r="S93" s="7"/>
      <c r="T93" s="7"/>
      <c r="U93" s="7"/>
      <c r="V93" s="7"/>
      <c r="W93" s="7"/>
      <c r="X93" s="7"/>
      <c r="Y93" s="7"/>
      <c r="Z93" s="7"/>
      <c r="AA93" s="7"/>
      <c r="AB93" s="7"/>
      <c r="AC93" s="7"/>
      <c r="AD93" s="7"/>
      <c r="AE93" s="7"/>
    </row>
    <row r="94">
      <c r="A94" s="62" t="s">
        <v>570</v>
      </c>
      <c r="B94" s="29" t="s">
        <v>571</v>
      </c>
      <c r="C94" s="45" t="s">
        <v>33</v>
      </c>
      <c r="D94" s="21" t="s">
        <v>572</v>
      </c>
      <c r="E94" s="45"/>
      <c r="F94" s="42"/>
      <c r="G94" s="23"/>
      <c r="H94" s="45"/>
      <c r="I94" s="23" t="s">
        <v>573</v>
      </c>
      <c r="J94" s="23"/>
      <c r="K94" s="42"/>
      <c r="L94" s="22" t="s">
        <v>53</v>
      </c>
      <c r="M94" s="33"/>
      <c r="N94" s="33"/>
      <c r="O94" s="33"/>
      <c r="P94" s="33"/>
      <c r="Q94" s="7"/>
      <c r="R94" s="7"/>
      <c r="S94" s="7"/>
      <c r="T94" s="7"/>
      <c r="U94" s="7"/>
      <c r="V94" s="7"/>
      <c r="W94" s="7"/>
      <c r="X94" s="7"/>
      <c r="Y94" s="7"/>
      <c r="Z94" s="7"/>
      <c r="AA94" s="7"/>
      <c r="AB94" s="7"/>
      <c r="AC94" s="7"/>
      <c r="AD94" s="7"/>
      <c r="AE94" s="7"/>
    </row>
    <row r="95">
      <c r="A95" s="62" t="s">
        <v>574</v>
      </c>
      <c r="B95" s="29" t="s">
        <v>575</v>
      </c>
      <c r="C95" s="45">
        <v>2.0</v>
      </c>
      <c r="D95" s="21" t="s">
        <v>89</v>
      </c>
      <c r="E95" s="45" t="s">
        <v>53</v>
      </c>
      <c r="F95" s="42" t="s">
        <v>221</v>
      </c>
      <c r="G95" s="23" t="s">
        <v>576</v>
      </c>
      <c r="H95" s="45">
        <v>5.0</v>
      </c>
      <c r="I95" s="23" t="s">
        <v>577</v>
      </c>
      <c r="J95" s="23" t="s">
        <v>578</v>
      </c>
      <c r="K95" s="42" t="s">
        <v>57</v>
      </c>
      <c r="L95" s="22" t="s">
        <v>579</v>
      </c>
      <c r="M95" s="46" t="s">
        <v>580</v>
      </c>
      <c r="N95" s="33"/>
      <c r="O95" s="46" t="s">
        <v>581</v>
      </c>
      <c r="P95" s="33"/>
      <c r="Q95" s="7"/>
      <c r="R95" s="7"/>
      <c r="S95" s="7"/>
      <c r="T95" s="7"/>
      <c r="U95" s="7"/>
      <c r="V95" s="7"/>
      <c r="W95" s="7"/>
      <c r="X95" s="7"/>
      <c r="Y95" s="7"/>
      <c r="Z95" s="7"/>
      <c r="AA95" s="7"/>
      <c r="AB95" s="7"/>
      <c r="AC95" s="7"/>
      <c r="AD95" s="7"/>
      <c r="AE95" s="7"/>
    </row>
    <row r="96">
      <c r="A96" s="62" t="s">
        <v>582</v>
      </c>
      <c r="B96" s="29" t="s">
        <v>583</v>
      </c>
      <c r="C96" s="45">
        <v>1.0</v>
      </c>
      <c r="D96" s="21" t="s">
        <v>98</v>
      </c>
      <c r="E96" s="45" t="s">
        <v>53</v>
      </c>
      <c r="F96" s="42" t="s">
        <v>54</v>
      </c>
      <c r="G96" s="23" t="s">
        <v>584</v>
      </c>
      <c r="H96" s="42">
        <v>4.0</v>
      </c>
      <c r="I96" s="23" t="s">
        <v>585</v>
      </c>
      <c r="J96" s="23">
        <v>2.0</v>
      </c>
      <c r="K96" s="42" t="s">
        <v>586</v>
      </c>
      <c r="L96" s="22" t="s">
        <v>57</v>
      </c>
      <c r="M96" s="23" t="s">
        <v>205</v>
      </c>
      <c r="N96" s="17"/>
      <c r="O96" s="23" t="s">
        <v>587</v>
      </c>
      <c r="P96" s="23" t="s">
        <v>588</v>
      </c>
      <c r="Q96" s="7"/>
      <c r="R96" s="7"/>
      <c r="S96" s="7"/>
      <c r="T96" s="7"/>
      <c r="U96" s="7"/>
      <c r="V96" s="7"/>
      <c r="W96" s="7"/>
      <c r="X96" s="7"/>
      <c r="Y96" s="7"/>
      <c r="Z96" s="7"/>
      <c r="AA96" s="7"/>
      <c r="AB96" s="7"/>
      <c r="AC96" s="7"/>
      <c r="AD96" s="7"/>
      <c r="AE96" s="7"/>
    </row>
    <row r="97">
      <c r="A97" s="62" t="s">
        <v>589</v>
      </c>
      <c r="B97" s="29" t="s">
        <v>590</v>
      </c>
      <c r="C97" s="41">
        <v>1.0</v>
      </c>
      <c r="D97" s="21" t="s">
        <v>98</v>
      </c>
      <c r="E97" s="45"/>
      <c r="F97" s="42"/>
      <c r="G97" s="23"/>
      <c r="H97" s="42"/>
      <c r="I97" s="23" t="s">
        <v>591</v>
      </c>
      <c r="J97" s="23"/>
      <c r="K97" s="42"/>
      <c r="L97" s="22" t="s">
        <v>57</v>
      </c>
      <c r="M97" s="17"/>
      <c r="N97" s="17"/>
      <c r="O97" s="17"/>
      <c r="P97" s="17"/>
      <c r="Q97" s="7"/>
      <c r="R97" s="7"/>
      <c r="S97" s="7"/>
      <c r="T97" s="7"/>
      <c r="U97" s="7"/>
      <c r="V97" s="7"/>
      <c r="W97" s="7"/>
      <c r="X97" s="7"/>
      <c r="Y97" s="7"/>
      <c r="Z97" s="7"/>
      <c r="AA97" s="7"/>
      <c r="AB97" s="7"/>
      <c r="AC97" s="7"/>
      <c r="AD97" s="7"/>
      <c r="AE97" s="7"/>
    </row>
    <row r="98">
      <c r="A98" s="62" t="s">
        <v>592</v>
      </c>
      <c r="B98" s="29" t="s">
        <v>593</v>
      </c>
      <c r="C98" s="41">
        <v>2.0</v>
      </c>
      <c r="D98" s="21" t="s">
        <v>98</v>
      </c>
      <c r="E98" s="45"/>
      <c r="F98" s="45"/>
      <c r="G98" s="22"/>
      <c r="H98" s="45"/>
      <c r="I98" s="22" t="s">
        <v>594</v>
      </c>
      <c r="J98" s="22"/>
      <c r="K98" s="45"/>
      <c r="L98" s="22" t="s">
        <v>579</v>
      </c>
      <c r="M98" s="63"/>
      <c r="N98" s="63"/>
      <c r="O98" s="63"/>
      <c r="P98" s="63"/>
      <c r="Q98" s="7"/>
      <c r="R98" s="7"/>
      <c r="S98" s="7"/>
      <c r="T98" s="7"/>
      <c r="U98" s="7"/>
      <c r="V98" s="7"/>
      <c r="W98" s="7"/>
      <c r="X98" s="7"/>
      <c r="Y98" s="7"/>
      <c r="Z98" s="7"/>
      <c r="AA98" s="7"/>
      <c r="AB98" s="7"/>
      <c r="AC98" s="7"/>
      <c r="AD98" s="7"/>
      <c r="AE98" s="7"/>
    </row>
    <row r="99">
      <c r="A99" s="62" t="s">
        <v>595</v>
      </c>
      <c r="B99" s="29" t="s">
        <v>596</v>
      </c>
      <c r="C99" s="45">
        <v>1.0</v>
      </c>
      <c r="D99" s="41" t="s">
        <v>116</v>
      </c>
      <c r="E99" s="45"/>
      <c r="F99" s="45"/>
      <c r="G99" s="22"/>
      <c r="H99" s="45"/>
      <c r="I99" s="22" t="s">
        <v>597</v>
      </c>
      <c r="J99" s="22"/>
      <c r="K99" s="45"/>
      <c r="L99" s="22" t="s">
        <v>57</v>
      </c>
      <c r="M99" s="21"/>
      <c r="N99" s="7"/>
      <c r="O99" s="63"/>
      <c r="P99" s="7"/>
      <c r="Q99" s="7"/>
      <c r="R99" s="7"/>
      <c r="S99" s="7"/>
      <c r="T99" s="7"/>
      <c r="U99" s="7"/>
      <c r="V99" s="7"/>
      <c r="W99" s="7"/>
      <c r="X99" s="7"/>
      <c r="Y99" s="7"/>
      <c r="Z99" s="7"/>
      <c r="AA99" s="7"/>
      <c r="AB99" s="7"/>
      <c r="AC99" s="7"/>
      <c r="AD99" s="7"/>
      <c r="AE99" s="7"/>
    </row>
    <row r="100">
      <c r="A100" s="61" t="s">
        <v>598</v>
      </c>
      <c r="B100" s="31" t="s">
        <v>599</v>
      </c>
      <c r="C100" s="42">
        <v>2.0</v>
      </c>
      <c r="D100" s="41" t="s">
        <v>116</v>
      </c>
      <c r="E100" s="45"/>
      <c r="F100" s="45"/>
      <c r="G100" s="22"/>
      <c r="H100" s="45"/>
      <c r="I100" s="22" t="s">
        <v>600</v>
      </c>
      <c r="J100" s="22"/>
      <c r="K100" s="45"/>
      <c r="L100" s="22" t="s">
        <v>57</v>
      </c>
      <c r="M100" s="21" t="s">
        <v>601</v>
      </c>
      <c r="N100" s="33"/>
      <c r="O100" s="21" t="s">
        <v>602</v>
      </c>
      <c r="P100" s="21" t="s">
        <v>603</v>
      </c>
      <c r="Q100" s="7"/>
      <c r="R100" s="7"/>
      <c r="S100" s="7"/>
      <c r="T100" s="7"/>
      <c r="U100" s="7"/>
      <c r="V100" s="7"/>
      <c r="W100" s="7"/>
      <c r="X100" s="7"/>
      <c r="Y100" s="7"/>
      <c r="Z100" s="7"/>
      <c r="AA100" s="7"/>
      <c r="AB100" s="7"/>
      <c r="AC100" s="7"/>
      <c r="AD100" s="7"/>
      <c r="AE100" s="7"/>
    </row>
    <row r="101">
      <c r="A101" s="61" t="s">
        <v>604</v>
      </c>
      <c r="B101" s="31" t="s">
        <v>605</v>
      </c>
      <c r="C101" s="45" t="s">
        <v>33</v>
      </c>
      <c r="D101" s="41" t="s">
        <v>277</v>
      </c>
      <c r="E101" s="45"/>
      <c r="F101" s="45"/>
      <c r="G101" s="22"/>
      <c r="H101" s="45"/>
      <c r="I101" s="22" t="s">
        <v>606</v>
      </c>
      <c r="J101" s="22"/>
      <c r="K101" s="45"/>
      <c r="L101" s="22" t="s">
        <v>57</v>
      </c>
      <c r="M101" s="7"/>
      <c r="N101" s="7"/>
      <c r="O101" s="7"/>
      <c r="P101" s="7"/>
      <c r="Q101" s="7"/>
      <c r="R101" s="7"/>
      <c r="S101" s="7"/>
      <c r="T101" s="7"/>
      <c r="U101" s="7"/>
      <c r="V101" s="7"/>
      <c r="W101" s="7"/>
      <c r="X101" s="7"/>
      <c r="Y101" s="7"/>
      <c r="Z101" s="7"/>
      <c r="AA101" s="7"/>
      <c r="AB101" s="7"/>
      <c r="AC101" s="7"/>
      <c r="AD101" s="7"/>
      <c r="AE101" s="7"/>
    </row>
    <row r="102">
      <c r="A102" s="61" t="s">
        <v>607</v>
      </c>
      <c r="B102" s="31" t="s">
        <v>608</v>
      </c>
      <c r="C102" s="45">
        <v>2.0</v>
      </c>
      <c r="D102" s="21" t="s">
        <v>98</v>
      </c>
      <c r="E102" s="45"/>
      <c r="F102" s="45"/>
      <c r="G102" s="22"/>
      <c r="H102" s="45"/>
      <c r="I102" s="22" t="s">
        <v>609</v>
      </c>
      <c r="J102" s="53">
        <v>43499.0</v>
      </c>
      <c r="K102" s="45" t="s">
        <v>53</v>
      </c>
      <c r="L102" s="22" t="s">
        <v>579</v>
      </c>
      <c r="M102" s="21" t="s">
        <v>610</v>
      </c>
      <c r="N102" s="45" t="s">
        <v>57</v>
      </c>
      <c r="O102" s="21" t="s">
        <v>611</v>
      </c>
      <c r="P102" s="21" t="s">
        <v>612</v>
      </c>
      <c r="Q102" s="7"/>
      <c r="R102" s="7"/>
      <c r="S102" s="7"/>
      <c r="T102" s="7"/>
      <c r="U102" s="7"/>
      <c r="V102" s="7"/>
      <c r="W102" s="7"/>
      <c r="X102" s="7"/>
      <c r="Y102" s="7"/>
      <c r="Z102" s="7"/>
      <c r="AA102" s="7"/>
      <c r="AB102" s="7"/>
      <c r="AC102" s="7"/>
      <c r="AD102" s="7"/>
      <c r="AE102" s="7"/>
    </row>
    <row r="103">
      <c r="A103" s="61" t="s">
        <v>613</v>
      </c>
      <c r="B103" s="31" t="s">
        <v>614</v>
      </c>
      <c r="C103" s="45">
        <v>2.0</v>
      </c>
      <c r="D103" s="21" t="s">
        <v>71</v>
      </c>
      <c r="E103" s="45"/>
      <c r="F103" s="45"/>
      <c r="G103" s="22"/>
      <c r="H103" s="45"/>
      <c r="I103" s="22" t="s">
        <v>615</v>
      </c>
      <c r="J103" s="22"/>
      <c r="K103" s="45"/>
      <c r="L103" s="22" t="s">
        <v>57</v>
      </c>
      <c r="M103" s="7"/>
      <c r="N103" s="7"/>
      <c r="O103" s="7"/>
      <c r="P103" s="7"/>
      <c r="Q103" s="7"/>
      <c r="R103" s="7"/>
      <c r="S103" s="7"/>
      <c r="T103" s="7"/>
      <c r="U103" s="7"/>
      <c r="V103" s="7"/>
      <c r="W103" s="7"/>
      <c r="X103" s="7"/>
      <c r="Y103" s="7"/>
      <c r="Z103" s="7"/>
      <c r="AA103" s="7"/>
      <c r="AB103" s="7"/>
      <c r="AC103" s="7"/>
      <c r="AD103" s="7"/>
      <c r="AE103" s="7"/>
    </row>
    <row r="104">
      <c r="A104" s="64" t="s">
        <v>616</v>
      </c>
      <c r="B104" s="20" t="s">
        <v>617</v>
      </c>
      <c r="C104" s="41">
        <v>2.0</v>
      </c>
      <c r="D104" s="21" t="s">
        <v>161</v>
      </c>
      <c r="E104" s="45"/>
      <c r="F104" s="45"/>
      <c r="G104" s="22"/>
      <c r="H104" s="45"/>
      <c r="I104" s="21" t="s">
        <v>618</v>
      </c>
      <c r="J104" s="22"/>
      <c r="K104" s="45"/>
      <c r="L104" s="22"/>
      <c r="M104" s="7"/>
      <c r="N104" s="7"/>
      <c r="O104" s="7"/>
      <c r="P104" s="7"/>
      <c r="Q104" s="7"/>
      <c r="R104" s="7"/>
      <c r="S104" s="7"/>
      <c r="T104" s="7"/>
      <c r="U104" s="7"/>
      <c r="V104" s="7"/>
      <c r="W104" s="7"/>
      <c r="X104" s="7"/>
      <c r="Y104" s="7"/>
      <c r="Z104" s="7"/>
      <c r="AA104" s="7"/>
      <c r="AB104" s="7"/>
      <c r="AC104" s="7"/>
      <c r="AD104" s="7"/>
      <c r="AE104" s="7"/>
    </row>
    <row r="105">
      <c r="A105" s="61" t="s">
        <v>619</v>
      </c>
      <c r="B105" s="31" t="s">
        <v>620</v>
      </c>
      <c r="C105" s="45">
        <v>1.0</v>
      </c>
      <c r="D105" s="21" t="s">
        <v>333</v>
      </c>
      <c r="E105" s="45" t="s">
        <v>53</v>
      </c>
      <c r="F105" s="45" t="s">
        <v>54</v>
      </c>
      <c r="G105" s="22" t="s">
        <v>621</v>
      </c>
      <c r="H105" s="45">
        <v>1.7</v>
      </c>
      <c r="I105" s="22" t="s">
        <v>622</v>
      </c>
      <c r="J105" s="22" t="s">
        <v>54</v>
      </c>
      <c r="K105" s="45" t="s">
        <v>57</v>
      </c>
      <c r="L105" s="22" t="s">
        <v>57</v>
      </c>
      <c r="M105" s="22" t="s">
        <v>545</v>
      </c>
      <c r="N105" s="7"/>
      <c r="O105" s="22" t="s">
        <v>623</v>
      </c>
      <c r="P105" s="22" t="s">
        <v>624</v>
      </c>
      <c r="Q105" s="7"/>
      <c r="R105" s="7"/>
      <c r="S105" s="7"/>
      <c r="T105" s="7"/>
      <c r="U105" s="7"/>
      <c r="V105" s="7"/>
      <c r="W105" s="7"/>
      <c r="X105" s="7"/>
      <c r="Y105" s="7"/>
      <c r="Z105" s="7"/>
      <c r="AA105" s="7"/>
      <c r="AB105" s="7"/>
      <c r="AC105" s="7"/>
      <c r="AD105" s="7"/>
      <c r="AE105" s="7"/>
    </row>
    <row r="106">
      <c r="A106" s="61" t="s">
        <v>625</v>
      </c>
      <c r="B106" s="31" t="s">
        <v>626</v>
      </c>
      <c r="C106" s="42">
        <v>1.0</v>
      </c>
      <c r="D106" s="21" t="s">
        <v>627</v>
      </c>
      <c r="E106" s="45" t="s">
        <v>53</v>
      </c>
      <c r="F106" s="45" t="s">
        <v>628</v>
      </c>
      <c r="G106" s="22" t="s">
        <v>629</v>
      </c>
      <c r="H106" s="45">
        <v>1.0</v>
      </c>
      <c r="I106" s="22" t="s">
        <v>630</v>
      </c>
      <c r="J106" s="22">
        <v>0.0</v>
      </c>
      <c r="K106" s="45" t="s">
        <v>53</v>
      </c>
      <c r="L106" s="22" t="s">
        <v>57</v>
      </c>
      <c r="M106" s="22" t="s">
        <v>58</v>
      </c>
      <c r="N106" s="45" t="s">
        <v>221</v>
      </c>
      <c r="O106" s="22" t="s">
        <v>631</v>
      </c>
      <c r="P106" s="22" t="s">
        <v>632</v>
      </c>
      <c r="Q106" s="7"/>
      <c r="R106" s="7"/>
      <c r="S106" s="7"/>
      <c r="T106" s="7"/>
      <c r="U106" s="7"/>
      <c r="V106" s="7"/>
      <c r="W106" s="7"/>
      <c r="X106" s="7"/>
      <c r="Y106" s="7"/>
      <c r="Z106" s="7"/>
      <c r="AA106" s="7"/>
      <c r="AB106" s="7"/>
      <c r="AC106" s="7"/>
      <c r="AD106" s="7"/>
      <c r="AE106" s="7"/>
    </row>
    <row r="107">
      <c r="A107" s="62" t="s">
        <v>633</v>
      </c>
      <c r="B107" s="29" t="s">
        <v>634</v>
      </c>
      <c r="C107" s="45">
        <v>1.0</v>
      </c>
      <c r="D107" s="21" t="s">
        <v>635</v>
      </c>
      <c r="E107" s="45"/>
      <c r="F107" s="45"/>
      <c r="G107" s="22"/>
      <c r="H107" s="55">
        <v>43504.0</v>
      </c>
      <c r="I107" s="22" t="s">
        <v>636</v>
      </c>
      <c r="J107" s="22"/>
      <c r="K107" s="45"/>
      <c r="L107" s="22" t="s">
        <v>57</v>
      </c>
      <c r="M107" s="22" t="s">
        <v>637</v>
      </c>
      <c r="N107" s="25" t="s">
        <v>408</v>
      </c>
      <c r="O107" s="22" t="s">
        <v>638</v>
      </c>
      <c r="P107" s="22" t="s">
        <v>639</v>
      </c>
      <c r="Q107" s="7"/>
      <c r="R107" s="7"/>
      <c r="S107" s="7"/>
      <c r="T107" s="7"/>
      <c r="U107" s="7"/>
      <c r="V107" s="7"/>
      <c r="W107" s="7"/>
      <c r="X107" s="7"/>
      <c r="Y107" s="7"/>
      <c r="Z107" s="7"/>
      <c r="AA107" s="7"/>
      <c r="AB107" s="7"/>
      <c r="AC107" s="7"/>
      <c r="AD107" s="7"/>
      <c r="AE107" s="7"/>
    </row>
    <row r="108">
      <c r="A108" s="62" t="s">
        <v>640</v>
      </c>
      <c r="B108" s="29" t="s">
        <v>641</v>
      </c>
      <c r="C108" s="45">
        <v>2.0</v>
      </c>
      <c r="D108" s="21" t="s">
        <v>45</v>
      </c>
      <c r="E108" s="45"/>
      <c r="F108" s="45"/>
      <c r="G108" s="22"/>
      <c r="H108" s="45"/>
      <c r="I108" s="22" t="s">
        <v>642</v>
      </c>
      <c r="J108" s="22"/>
      <c r="K108" s="45"/>
      <c r="L108" s="22" t="s">
        <v>57</v>
      </c>
      <c r="M108" s="7"/>
      <c r="N108" s="7"/>
      <c r="O108" s="7"/>
      <c r="P108" s="7"/>
      <c r="Q108" s="7"/>
      <c r="R108" s="7"/>
      <c r="S108" s="7"/>
      <c r="T108" s="7"/>
      <c r="U108" s="7"/>
      <c r="V108" s="7"/>
      <c r="W108" s="7"/>
      <c r="X108" s="7"/>
      <c r="Y108" s="7"/>
      <c r="Z108" s="7"/>
      <c r="AA108" s="7"/>
      <c r="AB108" s="7"/>
      <c r="AC108" s="7"/>
      <c r="AD108" s="7"/>
      <c r="AE108" s="7"/>
    </row>
    <row r="109">
      <c r="A109" s="62" t="s">
        <v>643</v>
      </c>
      <c r="B109" s="29" t="s">
        <v>644</v>
      </c>
      <c r="C109" s="45">
        <v>1.0</v>
      </c>
      <c r="D109" s="21" t="s">
        <v>421</v>
      </c>
      <c r="E109" s="21" t="s">
        <v>645</v>
      </c>
      <c r="F109" s="45" t="s">
        <v>646</v>
      </c>
      <c r="G109" s="22" t="s">
        <v>629</v>
      </c>
      <c r="H109" s="45">
        <v>4.0</v>
      </c>
      <c r="I109" s="22" t="s">
        <v>647</v>
      </c>
      <c r="J109" s="22" t="s">
        <v>648</v>
      </c>
      <c r="K109" s="45" t="s">
        <v>53</v>
      </c>
      <c r="L109" s="22" t="s">
        <v>57</v>
      </c>
      <c r="M109" s="22" t="s">
        <v>649</v>
      </c>
      <c r="N109" s="45" t="s">
        <v>54</v>
      </c>
      <c r="O109" s="22" t="s">
        <v>650</v>
      </c>
      <c r="P109" s="22" t="s">
        <v>651</v>
      </c>
      <c r="Q109" s="7"/>
      <c r="R109" s="7"/>
      <c r="S109" s="7"/>
      <c r="T109" s="7"/>
      <c r="U109" s="7"/>
      <c r="V109" s="7"/>
      <c r="W109" s="7"/>
      <c r="X109" s="7"/>
      <c r="Y109" s="7"/>
      <c r="Z109" s="7"/>
      <c r="AA109" s="7"/>
      <c r="AB109" s="7"/>
      <c r="AC109" s="7"/>
      <c r="AD109" s="7"/>
      <c r="AE109" s="7"/>
    </row>
    <row r="110">
      <c r="A110" s="62" t="s">
        <v>652</v>
      </c>
      <c r="B110" s="29" t="s">
        <v>653</v>
      </c>
      <c r="C110" s="45">
        <v>1.0</v>
      </c>
      <c r="D110" s="41" t="s">
        <v>550</v>
      </c>
      <c r="E110" s="45"/>
      <c r="F110" s="45"/>
      <c r="G110" s="22"/>
      <c r="H110" s="41">
        <v>4.0</v>
      </c>
      <c r="I110" s="22" t="s">
        <v>654</v>
      </c>
      <c r="J110" s="22" t="s">
        <v>54</v>
      </c>
      <c r="K110" s="45"/>
      <c r="L110" s="22" t="s">
        <v>57</v>
      </c>
      <c r="M110" s="16" t="s">
        <v>386</v>
      </c>
      <c r="N110" s="25"/>
      <c r="O110" s="16" t="s">
        <v>655</v>
      </c>
      <c r="P110" s="16" t="s">
        <v>656</v>
      </c>
      <c r="Q110" s="7"/>
      <c r="R110" s="7"/>
      <c r="S110" s="7"/>
      <c r="T110" s="7"/>
      <c r="U110" s="7"/>
      <c r="V110" s="7"/>
      <c r="W110" s="7"/>
      <c r="X110" s="7"/>
      <c r="Y110" s="7"/>
      <c r="Z110" s="7"/>
      <c r="AA110" s="7"/>
      <c r="AB110" s="7"/>
      <c r="AC110" s="7"/>
      <c r="AD110" s="7"/>
      <c r="AE110" s="7"/>
    </row>
    <row r="111">
      <c r="A111" s="62" t="s">
        <v>657</v>
      </c>
      <c r="B111" s="29" t="s">
        <v>658</v>
      </c>
      <c r="C111" s="45">
        <v>1.0</v>
      </c>
      <c r="D111" s="41" t="s">
        <v>116</v>
      </c>
      <c r="E111" s="45"/>
      <c r="F111" s="45"/>
      <c r="G111" s="22"/>
      <c r="H111" s="45"/>
      <c r="I111" s="22" t="s">
        <v>659</v>
      </c>
      <c r="J111" s="22"/>
      <c r="K111" s="45"/>
      <c r="L111" s="22" t="s">
        <v>579</v>
      </c>
      <c r="M111" s="7"/>
      <c r="N111" s="7"/>
      <c r="O111" s="7"/>
      <c r="P111" s="7"/>
      <c r="Q111" s="7"/>
      <c r="R111" s="7"/>
      <c r="S111" s="7"/>
      <c r="T111" s="7"/>
      <c r="U111" s="7"/>
      <c r="V111" s="7"/>
      <c r="W111" s="7"/>
      <c r="X111" s="7"/>
      <c r="Y111" s="7"/>
      <c r="Z111" s="7"/>
      <c r="AA111" s="7"/>
      <c r="AB111" s="7"/>
      <c r="AC111" s="7"/>
      <c r="AD111" s="7"/>
      <c r="AE111" s="7"/>
    </row>
    <row r="112">
      <c r="A112" s="62" t="s">
        <v>660</v>
      </c>
      <c r="B112" s="29" t="s">
        <v>661</v>
      </c>
      <c r="C112" s="45">
        <v>2.0</v>
      </c>
      <c r="D112" s="41" t="s">
        <v>550</v>
      </c>
      <c r="E112" s="45"/>
      <c r="F112" s="45"/>
      <c r="G112" s="45"/>
      <c r="H112" s="45"/>
      <c r="I112" s="22" t="s">
        <v>662</v>
      </c>
      <c r="J112" s="22"/>
      <c r="K112" s="45"/>
      <c r="L112" s="22"/>
      <c r="M112" s="47" t="s">
        <v>663</v>
      </c>
      <c r="N112" s="25"/>
      <c r="O112" s="47" t="s">
        <v>664</v>
      </c>
      <c r="P112" s="47" t="s">
        <v>665</v>
      </c>
      <c r="Q112" s="7"/>
      <c r="R112" s="7"/>
      <c r="S112" s="7"/>
      <c r="T112" s="7"/>
      <c r="U112" s="7"/>
      <c r="V112" s="7"/>
      <c r="W112" s="7"/>
      <c r="X112" s="7"/>
      <c r="Y112" s="7"/>
      <c r="Z112" s="7"/>
      <c r="AA112" s="7"/>
      <c r="AB112" s="7"/>
      <c r="AC112" s="7"/>
      <c r="AD112" s="7"/>
      <c r="AE112" s="7"/>
    </row>
    <row r="113">
      <c r="A113" s="62" t="s">
        <v>666</v>
      </c>
      <c r="B113" s="29" t="s">
        <v>667</v>
      </c>
      <c r="C113" s="45">
        <v>1.0</v>
      </c>
      <c r="D113" s="41" t="s">
        <v>161</v>
      </c>
      <c r="E113" s="45"/>
      <c r="F113" s="45"/>
      <c r="G113" s="22"/>
      <c r="H113" s="55">
        <v>43473.0</v>
      </c>
      <c r="I113" s="22" t="s">
        <v>668</v>
      </c>
      <c r="J113" s="22"/>
      <c r="K113" s="45" t="s">
        <v>57</v>
      </c>
      <c r="L113" s="22" t="s">
        <v>57</v>
      </c>
      <c r="M113" s="22" t="s">
        <v>669</v>
      </c>
      <c r="N113" s="7"/>
      <c r="O113" s="7"/>
      <c r="P113" s="22" t="s">
        <v>670</v>
      </c>
      <c r="Q113" s="7"/>
      <c r="R113" s="7"/>
      <c r="S113" s="7"/>
      <c r="T113" s="7"/>
      <c r="U113" s="7"/>
      <c r="V113" s="7"/>
      <c r="W113" s="7"/>
      <c r="X113" s="7"/>
      <c r="Y113" s="7"/>
      <c r="Z113" s="7"/>
      <c r="AA113" s="7"/>
      <c r="AB113" s="7"/>
      <c r="AC113" s="7"/>
      <c r="AD113" s="7"/>
      <c r="AE113" s="7"/>
    </row>
    <row r="114">
      <c r="A114" s="62" t="s">
        <v>671</v>
      </c>
      <c r="B114" s="29" t="s">
        <v>672</v>
      </c>
      <c r="C114" s="41">
        <v>2.0</v>
      </c>
      <c r="D114" s="21" t="s">
        <v>89</v>
      </c>
      <c r="E114" s="45"/>
      <c r="F114" s="45"/>
      <c r="G114" s="22"/>
      <c r="H114" s="45"/>
      <c r="I114" s="22" t="s">
        <v>673</v>
      </c>
      <c r="J114" s="22"/>
      <c r="K114" s="45"/>
      <c r="L114" s="22" t="s">
        <v>57</v>
      </c>
      <c r="M114" s="7"/>
      <c r="N114" s="7"/>
      <c r="O114" s="7"/>
      <c r="P114" s="7"/>
      <c r="Q114" s="7"/>
      <c r="R114" s="7"/>
      <c r="S114" s="7"/>
      <c r="T114" s="7"/>
      <c r="U114" s="7"/>
      <c r="V114" s="7"/>
      <c r="W114" s="7"/>
      <c r="X114" s="7"/>
      <c r="Y114" s="7"/>
      <c r="Z114" s="7"/>
      <c r="AA114" s="7"/>
      <c r="AB114" s="7"/>
      <c r="AC114" s="7"/>
      <c r="AD114" s="7"/>
      <c r="AE114" s="7"/>
    </row>
    <row r="115">
      <c r="A115" s="62" t="s">
        <v>674</v>
      </c>
      <c r="B115" s="29" t="s">
        <v>675</v>
      </c>
      <c r="C115" s="45">
        <v>2.0</v>
      </c>
      <c r="D115" s="41" t="s">
        <v>277</v>
      </c>
      <c r="E115" s="45"/>
      <c r="F115" s="45"/>
      <c r="G115" s="22"/>
      <c r="H115" s="45"/>
      <c r="I115" s="22" t="s">
        <v>676</v>
      </c>
      <c r="J115" s="22"/>
      <c r="K115" s="45"/>
      <c r="L115" s="22" t="s">
        <v>57</v>
      </c>
      <c r="M115" s="7"/>
      <c r="N115" s="7"/>
      <c r="O115" s="7"/>
      <c r="P115" s="7"/>
      <c r="Q115" s="7"/>
      <c r="R115" s="7"/>
      <c r="S115" s="7"/>
      <c r="T115" s="7"/>
      <c r="U115" s="7"/>
      <c r="V115" s="7"/>
      <c r="W115" s="7"/>
      <c r="X115" s="7"/>
      <c r="Y115" s="7"/>
      <c r="Z115" s="7"/>
      <c r="AA115" s="7"/>
      <c r="AB115" s="7"/>
      <c r="AC115" s="7"/>
      <c r="AD115" s="7"/>
      <c r="AE115" s="7"/>
    </row>
    <row r="116">
      <c r="A116" s="62" t="s">
        <v>677</v>
      </c>
      <c r="B116" s="65" t="s">
        <v>678</v>
      </c>
      <c r="C116" s="45">
        <v>1.0</v>
      </c>
      <c r="D116" s="21" t="s">
        <v>45</v>
      </c>
      <c r="E116" s="45"/>
      <c r="F116" s="45"/>
      <c r="G116" s="22"/>
      <c r="H116" s="45"/>
      <c r="I116" s="22" t="s">
        <v>679</v>
      </c>
      <c r="J116" s="22"/>
      <c r="K116" s="45"/>
      <c r="L116" s="22" t="s">
        <v>57</v>
      </c>
      <c r="M116" s="16"/>
      <c r="N116" s="25"/>
      <c r="O116" s="16"/>
      <c r="P116" s="16"/>
      <c r="Q116" s="7"/>
      <c r="R116" s="7"/>
      <c r="S116" s="7"/>
      <c r="T116" s="7"/>
      <c r="U116" s="7"/>
      <c r="V116" s="7"/>
      <c r="W116" s="7"/>
      <c r="X116" s="7"/>
      <c r="Y116" s="7"/>
      <c r="Z116" s="7"/>
      <c r="AA116" s="7"/>
      <c r="AB116" s="7"/>
      <c r="AC116" s="7"/>
      <c r="AD116" s="7"/>
      <c r="AE116" s="7"/>
    </row>
    <row r="117">
      <c r="A117" s="62" t="s">
        <v>680</v>
      </c>
      <c r="B117" s="65" t="s">
        <v>681</v>
      </c>
      <c r="C117" s="45">
        <v>2.0</v>
      </c>
      <c r="D117" s="21" t="s">
        <v>45</v>
      </c>
      <c r="E117" s="45"/>
      <c r="F117" s="45"/>
      <c r="G117" s="22"/>
      <c r="H117" s="45"/>
      <c r="I117" s="22" t="s">
        <v>682</v>
      </c>
      <c r="J117" s="22"/>
      <c r="K117" s="45"/>
      <c r="L117" s="22" t="s">
        <v>57</v>
      </c>
      <c r="M117" s="7"/>
      <c r="N117" s="7"/>
      <c r="O117" s="7"/>
      <c r="P117" s="7"/>
      <c r="Q117" s="7"/>
      <c r="R117" s="7"/>
      <c r="S117" s="7"/>
      <c r="T117" s="7"/>
      <c r="U117" s="7"/>
      <c r="V117" s="7"/>
      <c r="W117" s="7"/>
      <c r="X117" s="7"/>
      <c r="Y117" s="7"/>
      <c r="Z117" s="7"/>
      <c r="AA117" s="7"/>
      <c r="AB117" s="7"/>
      <c r="AC117" s="7"/>
      <c r="AD117" s="7"/>
      <c r="AE117" s="7"/>
    </row>
    <row r="118">
      <c r="A118" s="62" t="s">
        <v>683</v>
      </c>
      <c r="B118" s="29" t="s">
        <v>684</v>
      </c>
      <c r="C118" s="45">
        <v>1.0</v>
      </c>
      <c r="D118" s="21" t="s">
        <v>45</v>
      </c>
      <c r="E118" s="45"/>
      <c r="F118" s="45"/>
      <c r="G118" s="22"/>
      <c r="H118" s="45"/>
      <c r="I118" s="22" t="s">
        <v>685</v>
      </c>
      <c r="J118" s="22"/>
      <c r="K118" s="45"/>
      <c r="L118" s="22" t="s">
        <v>57</v>
      </c>
      <c r="M118" s="47" t="s">
        <v>158</v>
      </c>
      <c r="N118" s="7"/>
      <c r="O118" s="47" t="s">
        <v>686</v>
      </c>
      <c r="P118" s="47" t="s">
        <v>687</v>
      </c>
      <c r="Q118" s="7"/>
      <c r="R118" s="7"/>
      <c r="S118" s="7"/>
      <c r="T118" s="7"/>
      <c r="U118" s="7"/>
      <c r="V118" s="7"/>
      <c r="W118" s="7"/>
      <c r="X118" s="7"/>
      <c r="Y118" s="7"/>
      <c r="Z118" s="7"/>
      <c r="AA118" s="7"/>
      <c r="AB118" s="7"/>
      <c r="AC118" s="7"/>
      <c r="AD118" s="7"/>
      <c r="AE118" s="7"/>
    </row>
    <row r="119">
      <c r="A119" s="62" t="s">
        <v>688</v>
      </c>
      <c r="B119" s="29" t="s">
        <v>689</v>
      </c>
      <c r="C119" s="45">
        <v>2.0</v>
      </c>
      <c r="D119" s="21" t="s">
        <v>45</v>
      </c>
      <c r="E119" s="45"/>
      <c r="F119" s="45">
        <v>0.0</v>
      </c>
      <c r="G119" s="22"/>
      <c r="H119" s="45"/>
      <c r="I119" s="22" t="s">
        <v>690</v>
      </c>
      <c r="J119" s="22" t="s">
        <v>455</v>
      </c>
      <c r="K119" s="45"/>
      <c r="L119" s="22" t="s">
        <v>57</v>
      </c>
      <c r="M119" s="16" t="s">
        <v>456</v>
      </c>
      <c r="N119" s="7"/>
      <c r="O119" s="7"/>
      <c r="P119" s="7"/>
      <c r="Q119" s="7"/>
      <c r="R119" s="7"/>
      <c r="S119" s="7"/>
      <c r="T119" s="7"/>
      <c r="U119" s="7"/>
      <c r="V119" s="7"/>
      <c r="W119" s="7"/>
      <c r="X119" s="7"/>
      <c r="Y119" s="7"/>
      <c r="Z119" s="7"/>
      <c r="AA119" s="7"/>
      <c r="AB119" s="7"/>
      <c r="AC119" s="7"/>
      <c r="AD119" s="7"/>
      <c r="AE119" s="7"/>
    </row>
    <row r="120">
      <c r="A120" s="62" t="s">
        <v>691</v>
      </c>
      <c r="B120" s="29" t="s">
        <v>692</v>
      </c>
      <c r="C120" s="41">
        <v>2.0</v>
      </c>
      <c r="D120" s="21" t="s">
        <v>693</v>
      </c>
      <c r="E120" s="45"/>
      <c r="F120" s="45"/>
      <c r="G120" s="22"/>
      <c r="H120" s="45"/>
      <c r="I120" s="22" t="s">
        <v>694</v>
      </c>
      <c r="J120" s="22"/>
      <c r="K120" s="45"/>
      <c r="L120" s="22" t="s">
        <v>57</v>
      </c>
      <c r="M120" s="7"/>
      <c r="N120" s="7"/>
      <c r="O120" s="7"/>
      <c r="P120" s="7"/>
      <c r="Q120" s="7"/>
      <c r="R120" s="7"/>
      <c r="S120" s="7"/>
      <c r="T120" s="7"/>
      <c r="U120" s="7"/>
      <c r="V120" s="7"/>
      <c r="W120" s="7"/>
      <c r="X120" s="7"/>
      <c r="Y120" s="7"/>
      <c r="Z120" s="7"/>
      <c r="AA120" s="7"/>
      <c r="AB120" s="7"/>
      <c r="AC120" s="7"/>
      <c r="AD120" s="7"/>
      <c r="AE120" s="7"/>
    </row>
    <row r="121">
      <c r="A121" s="62" t="s">
        <v>695</v>
      </c>
      <c r="B121" s="29" t="s">
        <v>696</v>
      </c>
      <c r="C121" s="41">
        <v>2.0</v>
      </c>
      <c r="D121" s="21" t="s">
        <v>329</v>
      </c>
      <c r="E121" s="45"/>
      <c r="F121" s="45"/>
      <c r="G121" s="22"/>
      <c r="H121" s="45"/>
      <c r="I121" s="22" t="s">
        <v>697</v>
      </c>
      <c r="J121" s="22"/>
      <c r="K121" s="45"/>
      <c r="L121" s="22"/>
      <c r="M121" s="7"/>
      <c r="N121" s="7"/>
      <c r="O121" s="7"/>
      <c r="P121" s="7"/>
      <c r="Q121" s="7"/>
      <c r="R121" s="7"/>
      <c r="S121" s="7"/>
      <c r="T121" s="7"/>
      <c r="U121" s="7"/>
      <c r="V121" s="7"/>
      <c r="W121" s="7"/>
      <c r="X121" s="7"/>
      <c r="Y121" s="7"/>
      <c r="Z121" s="7"/>
      <c r="AA121" s="7"/>
      <c r="AB121" s="7"/>
      <c r="AC121" s="7"/>
      <c r="AD121" s="7"/>
      <c r="AE121" s="7"/>
    </row>
    <row r="122">
      <c r="A122" s="62" t="s">
        <v>698</v>
      </c>
      <c r="B122" s="29" t="s">
        <v>699</v>
      </c>
      <c r="C122" s="45">
        <v>1.0</v>
      </c>
      <c r="D122" s="21" t="s">
        <v>700</v>
      </c>
      <c r="E122" s="45"/>
      <c r="F122" s="45"/>
      <c r="G122" s="22"/>
      <c r="H122" s="45"/>
      <c r="I122" s="21" t="s">
        <v>701</v>
      </c>
      <c r="J122" s="22"/>
      <c r="K122" s="45"/>
      <c r="L122" s="22"/>
      <c r="M122" s="7"/>
      <c r="N122" s="7"/>
      <c r="O122" s="7"/>
      <c r="P122" s="7"/>
      <c r="Q122" s="7"/>
      <c r="R122" s="7"/>
      <c r="S122" s="7"/>
      <c r="T122" s="7"/>
      <c r="U122" s="7"/>
      <c r="V122" s="7"/>
      <c r="W122" s="7"/>
      <c r="X122" s="7"/>
      <c r="Y122" s="7"/>
      <c r="Z122" s="7"/>
      <c r="AA122" s="7"/>
      <c r="AB122" s="7"/>
      <c r="AC122" s="7"/>
      <c r="AD122" s="7"/>
      <c r="AE122" s="7"/>
    </row>
    <row r="123">
      <c r="A123" s="62" t="s">
        <v>702</v>
      </c>
      <c r="B123" s="29" t="s">
        <v>703</v>
      </c>
      <c r="C123" s="45">
        <v>1.0</v>
      </c>
      <c r="D123" s="21" t="s">
        <v>704</v>
      </c>
      <c r="E123" s="45"/>
      <c r="F123" s="45"/>
      <c r="G123" s="22"/>
      <c r="H123" s="45"/>
      <c r="I123" s="21" t="s">
        <v>306</v>
      </c>
      <c r="J123" s="22"/>
      <c r="K123" s="45"/>
      <c r="L123" s="22"/>
      <c r="M123" s="47" t="s">
        <v>705</v>
      </c>
      <c r="N123" s="7"/>
      <c r="O123" s="7"/>
      <c r="P123" s="47" t="s">
        <v>706</v>
      </c>
      <c r="Q123" s="7"/>
      <c r="R123" s="7"/>
      <c r="S123" s="7"/>
      <c r="T123" s="7"/>
      <c r="U123" s="7"/>
      <c r="V123" s="7"/>
      <c r="W123" s="7"/>
      <c r="X123" s="7"/>
      <c r="Y123" s="7"/>
      <c r="Z123" s="7"/>
      <c r="AA123" s="7"/>
      <c r="AB123" s="7"/>
      <c r="AC123" s="7"/>
      <c r="AD123" s="7"/>
      <c r="AE123" s="7"/>
    </row>
    <row r="124">
      <c r="A124" s="66" t="s">
        <v>707</v>
      </c>
      <c r="B124" s="29" t="s">
        <v>708</v>
      </c>
      <c r="C124" s="41">
        <v>2.0</v>
      </c>
      <c r="D124" s="41" t="s">
        <v>110</v>
      </c>
      <c r="E124" s="45"/>
      <c r="F124" s="45"/>
      <c r="G124" s="22"/>
      <c r="H124" s="45"/>
      <c r="I124" s="22" t="s">
        <v>709</v>
      </c>
      <c r="J124" s="22"/>
      <c r="K124" s="45"/>
      <c r="L124" s="22" t="s">
        <v>579</v>
      </c>
      <c r="M124" s="47" t="s">
        <v>710</v>
      </c>
      <c r="N124" s="7"/>
      <c r="O124" s="47" t="s">
        <v>711</v>
      </c>
      <c r="P124" s="47" t="s">
        <v>712</v>
      </c>
      <c r="Q124" s="7"/>
      <c r="R124" s="7"/>
      <c r="S124" s="7"/>
      <c r="T124" s="7"/>
      <c r="U124" s="7"/>
      <c r="V124" s="7"/>
      <c r="W124" s="7"/>
      <c r="X124" s="7"/>
      <c r="Y124" s="7"/>
      <c r="Z124" s="7"/>
      <c r="AA124" s="7"/>
      <c r="AB124" s="7"/>
      <c r="AC124" s="7"/>
      <c r="AD124" s="7"/>
      <c r="AE124" s="7"/>
    </row>
    <row r="125">
      <c r="A125" s="66" t="s">
        <v>713</v>
      </c>
      <c r="B125" s="29" t="s">
        <v>714</v>
      </c>
      <c r="C125" s="45">
        <v>1.0</v>
      </c>
      <c r="D125" s="41" t="s">
        <v>113</v>
      </c>
      <c r="E125" s="45"/>
      <c r="F125" s="45"/>
      <c r="G125" s="22"/>
      <c r="H125" s="45"/>
      <c r="I125" s="22" t="s">
        <v>715</v>
      </c>
      <c r="J125" s="22"/>
      <c r="K125" s="45"/>
      <c r="L125" s="22" t="s">
        <v>57</v>
      </c>
      <c r="M125" s="7"/>
      <c r="N125" s="7"/>
      <c r="O125" s="47" t="s">
        <v>716</v>
      </c>
      <c r="P125" s="47" t="s">
        <v>717</v>
      </c>
      <c r="Q125" s="7"/>
      <c r="R125" s="7"/>
      <c r="S125" s="7"/>
      <c r="T125" s="7"/>
      <c r="U125" s="7"/>
      <c r="V125" s="7"/>
      <c r="W125" s="7"/>
      <c r="X125" s="7"/>
      <c r="Y125" s="7"/>
      <c r="Z125" s="7"/>
      <c r="AA125" s="7"/>
      <c r="AB125" s="7"/>
      <c r="AC125" s="7"/>
      <c r="AD125" s="7"/>
      <c r="AE125" s="7"/>
    </row>
    <row r="126">
      <c r="A126" s="66" t="s">
        <v>718</v>
      </c>
      <c r="B126" s="29" t="s">
        <v>719</v>
      </c>
      <c r="C126" s="41">
        <v>1.0</v>
      </c>
      <c r="D126" s="41" t="s">
        <v>35</v>
      </c>
      <c r="E126" s="45"/>
      <c r="F126" s="45"/>
      <c r="G126" s="29"/>
      <c r="H126" s="45"/>
      <c r="I126" s="22" t="s">
        <v>720</v>
      </c>
      <c r="J126" s="29"/>
      <c r="K126" s="45"/>
      <c r="L126" s="22" t="s">
        <v>57</v>
      </c>
      <c r="M126" s="33"/>
      <c r="N126" s="33"/>
      <c r="O126" s="33"/>
      <c r="P126" s="33"/>
      <c r="Q126" s="7"/>
      <c r="R126" s="7"/>
      <c r="S126" s="7"/>
      <c r="T126" s="7"/>
      <c r="U126" s="7"/>
      <c r="V126" s="7"/>
      <c r="W126" s="7"/>
      <c r="X126" s="7"/>
      <c r="Y126" s="7"/>
      <c r="Z126" s="7"/>
      <c r="AA126" s="7"/>
      <c r="AB126" s="7"/>
      <c r="AC126" s="7"/>
      <c r="AD126" s="7"/>
      <c r="AE126" s="7"/>
    </row>
    <row r="127">
      <c r="A127" s="66" t="s">
        <v>721</v>
      </c>
      <c r="B127" s="29" t="s">
        <v>722</v>
      </c>
      <c r="C127" s="45">
        <v>1.0</v>
      </c>
      <c r="D127" s="41" t="s">
        <v>35</v>
      </c>
      <c r="E127" s="45" t="s">
        <v>53</v>
      </c>
      <c r="F127" s="45">
        <v>0.0</v>
      </c>
      <c r="G127" s="7" t="s">
        <v>723</v>
      </c>
      <c r="H127" s="45">
        <v>10.0</v>
      </c>
      <c r="I127" s="22" t="s">
        <v>724</v>
      </c>
      <c r="J127" s="29"/>
      <c r="K127" s="45"/>
      <c r="L127" s="22" t="s">
        <v>53</v>
      </c>
      <c r="M127" s="22" t="s">
        <v>264</v>
      </c>
      <c r="N127" s="7"/>
      <c r="O127" s="7"/>
      <c r="P127" s="21" t="s">
        <v>725</v>
      </c>
      <c r="Q127" s="7"/>
      <c r="R127" s="7"/>
      <c r="S127" s="7"/>
      <c r="T127" s="7"/>
      <c r="U127" s="7"/>
      <c r="V127" s="7"/>
      <c r="W127" s="7"/>
      <c r="X127" s="7"/>
      <c r="Y127" s="7"/>
      <c r="Z127" s="7"/>
      <c r="AA127" s="7"/>
      <c r="AB127" s="7"/>
      <c r="AC127" s="7"/>
      <c r="AD127" s="7"/>
      <c r="AE127" s="7"/>
    </row>
    <row r="128">
      <c r="A128" s="66" t="s">
        <v>726</v>
      </c>
      <c r="B128" s="29" t="s">
        <v>727</v>
      </c>
      <c r="C128" s="41">
        <v>2.0</v>
      </c>
      <c r="D128" s="41" t="s">
        <v>35</v>
      </c>
      <c r="E128" s="45" t="s">
        <v>53</v>
      </c>
      <c r="F128" s="45">
        <v>0.0</v>
      </c>
      <c r="G128" s="7" t="s">
        <v>222</v>
      </c>
      <c r="H128" s="45">
        <v>10.0</v>
      </c>
      <c r="I128" s="22" t="s">
        <v>728</v>
      </c>
      <c r="J128" s="67">
        <v>0.0</v>
      </c>
      <c r="K128" s="45" t="s">
        <v>57</v>
      </c>
      <c r="L128" s="22" t="s">
        <v>57</v>
      </c>
      <c r="M128" s="22" t="s">
        <v>166</v>
      </c>
      <c r="N128" s="45" t="s">
        <v>729</v>
      </c>
      <c r="O128" s="22" t="s">
        <v>730</v>
      </c>
      <c r="P128" s="22" t="s">
        <v>731</v>
      </c>
      <c r="Q128" s="7"/>
      <c r="R128" s="7"/>
      <c r="S128" s="7"/>
      <c r="T128" s="7"/>
      <c r="U128" s="7"/>
      <c r="V128" s="7"/>
      <c r="W128" s="7"/>
      <c r="X128" s="7"/>
      <c r="Y128" s="7"/>
      <c r="Z128" s="7"/>
      <c r="AA128" s="7"/>
      <c r="AB128" s="7"/>
      <c r="AC128" s="7"/>
      <c r="AD128" s="7"/>
      <c r="AE128" s="7"/>
    </row>
    <row r="129">
      <c r="A129" s="66" t="s">
        <v>732</v>
      </c>
      <c r="B129" s="29" t="s">
        <v>733</v>
      </c>
      <c r="C129" s="45">
        <v>2.0</v>
      </c>
      <c r="D129" s="41" t="s">
        <v>18</v>
      </c>
      <c r="E129" s="45"/>
      <c r="F129" s="45"/>
      <c r="G129" s="29"/>
      <c r="H129" s="45"/>
      <c r="I129" s="22" t="s">
        <v>734</v>
      </c>
      <c r="J129" s="29"/>
      <c r="K129" s="45"/>
      <c r="L129" s="22" t="s">
        <v>53</v>
      </c>
      <c r="M129" s="21" t="s">
        <v>601</v>
      </c>
      <c r="N129" s="7"/>
      <c r="O129" s="21" t="s">
        <v>735</v>
      </c>
      <c r="P129" s="7"/>
      <c r="Q129" s="7"/>
      <c r="R129" s="7"/>
      <c r="S129" s="7"/>
      <c r="T129" s="7"/>
      <c r="U129" s="7"/>
      <c r="V129" s="7"/>
      <c r="W129" s="7"/>
      <c r="X129" s="7"/>
      <c r="Y129" s="7"/>
      <c r="Z129" s="7"/>
      <c r="AA129" s="7"/>
      <c r="AB129" s="7"/>
      <c r="AC129" s="7"/>
      <c r="AD129" s="7"/>
      <c r="AE129" s="7"/>
    </row>
    <row r="130">
      <c r="A130" s="66" t="s">
        <v>736</v>
      </c>
      <c r="B130" s="29" t="s">
        <v>737</v>
      </c>
      <c r="C130" s="45">
        <v>2.0</v>
      </c>
      <c r="D130" s="41" t="s">
        <v>18</v>
      </c>
      <c r="E130" s="45" t="s">
        <v>57</v>
      </c>
      <c r="F130" s="22" t="s">
        <v>738</v>
      </c>
      <c r="G130" s="7" t="s">
        <v>739</v>
      </c>
      <c r="H130" s="45">
        <v>4.0</v>
      </c>
      <c r="I130" s="22" t="s">
        <v>740</v>
      </c>
      <c r="J130" s="67">
        <v>1.0</v>
      </c>
      <c r="K130" s="45" t="s">
        <v>57</v>
      </c>
      <c r="L130" s="22" t="s">
        <v>579</v>
      </c>
      <c r="M130" s="22" t="s">
        <v>741</v>
      </c>
      <c r="N130" s="45" t="s">
        <v>742</v>
      </c>
      <c r="O130" s="22" t="s">
        <v>743</v>
      </c>
      <c r="P130" s="22" t="s">
        <v>744</v>
      </c>
      <c r="Q130" s="7"/>
      <c r="R130" s="7"/>
      <c r="S130" s="7"/>
      <c r="T130" s="7"/>
      <c r="U130" s="7"/>
      <c r="V130" s="7"/>
      <c r="W130" s="7"/>
      <c r="X130" s="7"/>
      <c r="Y130" s="7"/>
      <c r="Z130" s="7"/>
      <c r="AA130" s="7"/>
      <c r="AB130" s="7"/>
      <c r="AC130" s="7"/>
      <c r="AD130" s="7"/>
      <c r="AE130" s="7"/>
    </row>
    <row r="131">
      <c r="A131" s="66" t="s">
        <v>745</v>
      </c>
      <c r="B131" s="29" t="s">
        <v>746</v>
      </c>
      <c r="C131" s="45">
        <v>2.0</v>
      </c>
      <c r="D131" s="41" t="s">
        <v>18</v>
      </c>
      <c r="E131" s="45" t="s">
        <v>747</v>
      </c>
      <c r="F131" s="45">
        <v>0.0</v>
      </c>
      <c r="G131" s="7" t="s">
        <v>748</v>
      </c>
      <c r="H131" s="68" t="s">
        <v>749</v>
      </c>
      <c r="I131" s="22" t="s">
        <v>750</v>
      </c>
      <c r="J131" s="67">
        <v>1.0</v>
      </c>
      <c r="K131" s="45" t="s">
        <v>57</v>
      </c>
      <c r="L131" s="29" t="s">
        <v>751</v>
      </c>
      <c r="M131" s="22" t="s">
        <v>58</v>
      </c>
      <c r="N131" s="45" t="s">
        <v>700</v>
      </c>
      <c r="O131" s="22" t="s">
        <v>752</v>
      </c>
      <c r="P131" s="22" t="s">
        <v>753</v>
      </c>
      <c r="Q131" s="7"/>
      <c r="R131" s="7"/>
      <c r="S131" s="7"/>
      <c r="T131" s="7"/>
      <c r="U131" s="7"/>
      <c r="V131" s="7"/>
      <c r="W131" s="7"/>
      <c r="X131" s="7"/>
      <c r="Y131" s="7"/>
      <c r="Z131" s="7"/>
      <c r="AA131" s="7"/>
      <c r="AB131" s="7"/>
      <c r="AC131" s="7"/>
      <c r="AD131" s="7"/>
      <c r="AE131" s="7"/>
    </row>
    <row r="132">
      <c r="A132" s="66" t="s">
        <v>754</v>
      </c>
      <c r="B132" s="29" t="s">
        <v>755</v>
      </c>
      <c r="C132" s="45">
        <v>1.0</v>
      </c>
      <c r="D132" s="41" t="s">
        <v>113</v>
      </c>
      <c r="E132" s="45"/>
      <c r="F132" s="45"/>
      <c r="G132" s="29"/>
      <c r="H132" s="45"/>
      <c r="I132" s="22" t="s">
        <v>756</v>
      </c>
      <c r="J132" s="29"/>
      <c r="K132" s="45"/>
      <c r="L132" s="22" t="s">
        <v>53</v>
      </c>
      <c r="M132" s="16" t="s">
        <v>757</v>
      </c>
      <c r="N132" s="25" t="s">
        <v>758</v>
      </c>
      <c r="O132" s="16" t="s">
        <v>759</v>
      </c>
      <c r="P132" s="16" t="s">
        <v>760</v>
      </c>
      <c r="Q132" s="7"/>
      <c r="R132" s="7"/>
      <c r="S132" s="7"/>
      <c r="T132" s="7"/>
      <c r="U132" s="7"/>
      <c r="V132" s="7"/>
      <c r="W132" s="7"/>
      <c r="X132" s="7"/>
      <c r="Y132" s="7"/>
      <c r="Z132" s="7"/>
      <c r="AA132" s="7"/>
      <c r="AB132" s="7"/>
      <c r="AC132" s="7"/>
      <c r="AD132" s="7"/>
      <c r="AE132" s="7"/>
    </row>
    <row r="133">
      <c r="A133" s="66" t="s">
        <v>761</v>
      </c>
      <c r="B133" s="29" t="s">
        <v>762</v>
      </c>
      <c r="C133" s="41">
        <v>1.0</v>
      </c>
      <c r="D133" s="41" t="s">
        <v>18</v>
      </c>
      <c r="E133" s="45"/>
      <c r="F133" s="45"/>
      <c r="G133" s="29"/>
      <c r="H133" s="45">
        <v>8.0</v>
      </c>
      <c r="I133" s="22" t="s">
        <v>763</v>
      </c>
      <c r="J133" s="7" t="s">
        <v>57</v>
      </c>
      <c r="K133" s="45" t="s">
        <v>57</v>
      </c>
      <c r="L133" s="22" t="s">
        <v>53</v>
      </c>
      <c r="M133" s="22" t="s">
        <v>764</v>
      </c>
      <c r="N133" s="45" t="s">
        <v>765</v>
      </c>
      <c r="O133" s="22" t="s">
        <v>766</v>
      </c>
      <c r="P133" s="22" t="s">
        <v>767</v>
      </c>
      <c r="Q133" s="7"/>
      <c r="R133" s="7"/>
      <c r="S133" s="7"/>
      <c r="T133" s="7"/>
      <c r="U133" s="7"/>
      <c r="V133" s="7"/>
      <c r="W133" s="7"/>
      <c r="X133" s="7"/>
      <c r="Y133" s="7"/>
      <c r="Z133" s="7"/>
      <c r="AA133" s="7"/>
      <c r="AB133" s="7"/>
      <c r="AC133" s="7"/>
      <c r="AD133" s="7"/>
      <c r="AE133" s="7"/>
    </row>
    <row r="134">
      <c r="A134" s="66" t="s">
        <v>768</v>
      </c>
      <c r="B134" s="29" t="s">
        <v>769</v>
      </c>
      <c r="C134" s="45">
        <v>2.0</v>
      </c>
      <c r="D134" s="41" t="s">
        <v>18</v>
      </c>
      <c r="E134" s="45"/>
      <c r="F134" s="45">
        <v>0.0</v>
      </c>
      <c r="G134" s="29"/>
      <c r="H134" s="45">
        <v>6.0</v>
      </c>
      <c r="I134" s="22" t="s">
        <v>770</v>
      </c>
      <c r="J134" s="29"/>
      <c r="K134" s="45"/>
      <c r="L134" s="22" t="s">
        <v>579</v>
      </c>
      <c r="M134" s="16" t="s">
        <v>166</v>
      </c>
      <c r="N134" s="7"/>
      <c r="O134" s="7"/>
      <c r="P134" s="16" t="s">
        <v>771</v>
      </c>
      <c r="Q134" s="7"/>
      <c r="R134" s="7"/>
      <c r="S134" s="7"/>
      <c r="T134" s="7"/>
      <c r="U134" s="7"/>
      <c r="V134" s="7"/>
      <c r="W134" s="7"/>
      <c r="X134" s="7"/>
      <c r="Y134" s="7"/>
      <c r="Z134" s="7"/>
      <c r="AA134" s="7"/>
      <c r="AB134" s="7"/>
      <c r="AC134" s="7"/>
      <c r="AD134" s="7"/>
      <c r="AE134" s="7"/>
    </row>
    <row r="135">
      <c r="A135" s="66" t="s">
        <v>772</v>
      </c>
      <c r="B135" s="29" t="s">
        <v>773</v>
      </c>
      <c r="C135" s="45">
        <v>2.0</v>
      </c>
      <c r="D135" s="41" t="s">
        <v>18</v>
      </c>
      <c r="E135" s="45" t="s">
        <v>57</v>
      </c>
      <c r="F135" s="45">
        <v>1.0</v>
      </c>
      <c r="G135" s="7" t="s">
        <v>774</v>
      </c>
      <c r="H135" s="45">
        <v>8.0</v>
      </c>
      <c r="I135" s="22" t="s">
        <v>775</v>
      </c>
      <c r="J135" s="67">
        <v>2.0</v>
      </c>
      <c r="K135" s="45" t="s">
        <v>57</v>
      </c>
      <c r="L135" s="22" t="s">
        <v>57</v>
      </c>
      <c r="M135" s="16" t="s">
        <v>545</v>
      </c>
      <c r="N135" s="25" t="s">
        <v>742</v>
      </c>
      <c r="O135" s="16" t="s">
        <v>776</v>
      </c>
      <c r="P135" s="16" t="s">
        <v>777</v>
      </c>
      <c r="Q135" s="7"/>
      <c r="R135" s="7"/>
      <c r="S135" s="7"/>
      <c r="T135" s="7"/>
      <c r="U135" s="7"/>
      <c r="V135" s="7"/>
      <c r="W135" s="7"/>
      <c r="X135" s="7"/>
      <c r="Y135" s="7"/>
      <c r="Z135" s="7"/>
      <c r="AA135" s="7"/>
      <c r="AB135" s="7"/>
      <c r="AC135" s="7"/>
      <c r="AD135" s="7"/>
      <c r="AE135" s="7"/>
    </row>
    <row r="136">
      <c r="A136" s="66" t="s">
        <v>778</v>
      </c>
      <c r="B136" s="29" t="s">
        <v>779</v>
      </c>
      <c r="C136" s="45">
        <v>1.0</v>
      </c>
      <c r="D136" s="41" t="s">
        <v>113</v>
      </c>
      <c r="E136" s="45" t="s">
        <v>57</v>
      </c>
      <c r="F136" s="45">
        <v>1.0</v>
      </c>
      <c r="G136" s="29"/>
      <c r="H136" s="45">
        <v>6.0</v>
      </c>
      <c r="I136" s="22" t="s">
        <v>780</v>
      </c>
      <c r="J136" s="67">
        <v>1.0</v>
      </c>
      <c r="K136" s="45" t="s">
        <v>57</v>
      </c>
      <c r="L136" s="22" t="s">
        <v>53</v>
      </c>
      <c r="M136" s="16" t="s">
        <v>545</v>
      </c>
      <c r="N136" s="7"/>
      <c r="O136" s="16" t="s">
        <v>781</v>
      </c>
      <c r="P136" s="16" t="s">
        <v>782</v>
      </c>
      <c r="Q136" s="7"/>
      <c r="R136" s="7"/>
      <c r="S136" s="7"/>
      <c r="T136" s="7"/>
      <c r="U136" s="7"/>
      <c r="V136" s="7"/>
      <c r="W136" s="7"/>
      <c r="X136" s="7"/>
      <c r="Y136" s="7"/>
      <c r="Z136" s="7"/>
      <c r="AA136" s="7"/>
      <c r="AB136" s="7"/>
      <c r="AC136" s="7"/>
      <c r="AD136" s="7"/>
      <c r="AE136" s="7"/>
    </row>
    <row r="137">
      <c r="A137" s="66" t="s">
        <v>783</v>
      </c>
      <c r="B137" s="29" t="s">
        <v>784</v>
      </c>
      <c r="C137" s="45">
        <v>2.0</v>
      </c>
      <c r="D137" s="41" t="s">
        <v>18</v>
      </c>
      <c r="E137" s="45"/>
      <c r="F137" s="45"/>
      <c r="G137" s="29"/>
      <c r="H137" s="45"/>
      <c r="I137" s="22" t="s">
        <v>785</v>
      </c>
      <c r="J137" s="29"/>
      <c r="K137" s="45"/>
      <c r="L137" s="22" t="s">
        <v>57</v>
      </c>
      <c r="M137" s="7"/>
      <c r="N137" s="7"/>
      <c r="O137" s="7"/>
      <c r="P137" s="7"/>
      <c r="Q137" s="7"/>
      <c r="R137" s="7"/>
      <c r="S137" s="7"/>
      <c r="T137" s="7"/>
      <c r="U137" s="7"/>
      <c r="V137" s="7"/>
      <c r="W137" s="7"/>
      <c r="X137" s="7"/>
      <c r="Y137" s="7"/>
      <c r="Z137" s="7"/>
      <c r="AA137" s="7"/>
      <c r="AB137" s="7"/>
      <c r="AC137" s="7"/>
      <c r="AD137" s="7"/>
      <c r="AE137" s="7"/>
    </row>
    <row r="138">
      <c r="A138" s="66" t="s">
        <v>786</v>
      </c>
      <c r="B138" s="29" t="s">
        <v>787</v>
      </c>
      <c r="C138" s="45">
        <v>1.0</v>
      </c>
      <c r="D138" s="41" t="s">
        <v>18</v>
      </c>
      <c r="E138" s="45"/>
      <c r="F138" s="45"/>
      <c r="G138" s="29"/>
      <c r="H138" s="45">
        <v>2.0</v>
      </c>
      <c r="I138" s="22" t="s">
        <v>788</v>
      </c>
      <c r="J138" s="29"/>
      <c r="K138" s="45"/>
      <c r="L138" s="22" t="s">
        <v>579</v>
      </c>
      <c r="M138" s="7"/>
      <c r="N138" s="7"/>
      <c r="O138" s="7"/>
      <c r="P138" s="16" t="s">
        <v>789</v>
      </c>
      <c r="Q138" s="7"/>
      <c r="R138" s="7"/>
      <c r="S138" s="7"/>
      <c r="T138" s="7"/>
      <c r="U138" s="7"/>
      <c r="V138" s="7"/>
      <c r="W138" s="7"/>
      <c r="X138" s="7"/>
      <c r="Y138" s="7"/>
      <c r="Z138" s="7"/>
      <c r="AA138" s="7"/>
      <c r="AB138" s="7"/>
      <c r="AC138" s="7"/>
      <c r="AD138" s="7"/>
      <c r="AE138" s="7"/>
    </row>
    <row r="139">
      <c r="A139" s="66" t="s">
        <v>790</v>
      </c>
      <c r="B139" s="29" t="s">
        <v>791</v>
      </c>
      <c r="C139" s="45">
        <v>1.0</v>
      </c>
      <c r="D139" s="41" t="s">
        <v>18</v>
      </c>
      <c r="E139" s="45"/>
      <c r="F139" s="45"/>
      <c r="G139" s="29"/>
      <c r="H139" s="45"/>
      <c r="I139" s="22" t="s">
        <v>792</v>
      </c>
      <c r="J139" s="29"/>
      <c r="K139" s="45"/>
      <c r="L139" s="22" t="s">
        <v>579</v>
      </c>
      <c r="M139" s="16"/>
      <c r="N139" s="25"/>
      <c r="O139" s="16"/>
      <c r="P139" s="16"/>
      <c r="Q139" s="7"/>
      <c r="R139" s="7"/>
      <c r="S139" s="7"/>
      <c r="T139" s="7"/>
      <c r="U139" s="7"/>
      <c r="V139" s="7"/>
      <c r="W139" s="7"/>
      <c r="X139" s="7"/>
      <c r="Y139" s="7"/>
      <c r="Z139" s="7"/>
      <c r="AA139" s="7"/>
      <c r="AB139" s="7"/>
      <c r="AC139" s="7"/>
      <c r="AD139" s="7"/>
      <c r="AE139" s="7"/>
    </row>
    <row r="140">
      <c r="A140" s="66" t="s">
        <v>793</v>
      </c>
      <c r="B140" s="29" t="s">
        <v>794</v>
      </c>
      <c r="C140" s="45" t="s">
        <v>33</v>
      </c>
      <c r="D140" s="41" t="s">
        <v>35</v>
      </c>
      <c r="E140" s="45" t="s">
        <v>53</v>
      </c>
      <c r="F140" s="45" t="s">
        <v>57</v>
      </c>
      <c r="G140" s="7" t="s">
        <v>795</v>
      </c>
      <c r="H140" s="45">
        <v>7.0</v>
      </c>
      <c r="I140" s="22" t="s">
        <v>796</v>
      </c>
      <c r="J140" s="29"/>
      <c r="K140" s="45"/>
      <c r="L140" s="22" t="s">
        <v>579</v>
      </c>
      <c r="M140" s="16" t="s">
        <v>797</v>
      </c>
      <c r="N140" s="25" t="s">
        <v>798</v>
      </c>
      <c r="O140" s="16" t="s">
        <v>799</v>
      </c>
      <c r="P140" s="16" t="s">
        <v>800</v>
      </c>
      <c r="Q140" s="7"/>
      <c r="R140" s="7"/>
      <c r="S140" s="7"/>
      <c r="T140" s="7"/>
      <c r="U140" s="7"/>
      <c r="V140" s="7"/>
      <c r="W140" s="7"/>
      <c r="X140" s="7"/>
      <c r="Y140" s="7"/>
      <c r="Z140" s="7"/>
      <c r="AA140" s="7"/>
      <c r="AB140" s="7"/>
      <c r="AC140" s="7"/>
      <c r="AD140" s="7"/>
      <c r="AE140" s="7"/>
    </row>
    <row r="141">
      <c r="A141" s="66" t="s">
        <v>801</v>
      </c>
      <c r="B141" s="29" t="s">
        <v>802</v>
      </c>
      <c r="C141" s="41">
        <v>1.0</v>
      </c>
      <c r="D141" s="41" t="s">
        <v>18</v>
      </c>
      <c r="E141" s="45" t="s">
        <v>57</v>
      </c>
      <c r="F141" s="45">
        <v>3.0</v>
      </c>
      <c r="G141" s="7" t="s">
        <v>803</v>
      </c>
      <c r="H141" s="45">
        <v>2.4</v>
      </c>
      <c r="I141" s="22" t="s">
        <v>804</v>
      </c>
      <c r="J141" s="7" t="s">
        <v>54</v>
      </c>
      <c r="K141" s="45" t="s">
        <v>53</v>
      </c>
      <c r="L141" s="22" t="s">
        <v>805</v>
      </c>
      <c r="M141" s="16" t="s">
        <v>806</v>
      </c>
      <c r="N141" s="25" t="s">
        <v>807</v>
      </c>
      <c r="O141" s="16" t="s">
        <v>808</v>
      </c>
      <c r="P141" s="16" t="s">
        <v>809</v>
      </c>
      <c r="Q141" s="7"/>
      <c r="R141" s="7"/>
      <c r="S141" s="7"/>
      <c r="T141" s="7"/>
      <c r="U141" s="7"/>
      <c r="V141" s="7"/>
      <c r="W141" s="7"/>
      <c r="X141" s="7"/>
      <c r="Y141" s="7"/>
      <c r="Z141" s="7"/>
      <c r="AA141" s="7"/>
      <c r="AB141" s="7"/>
      <c r="AC141" s="7"/>
      <c r="AD141" s="7"/>
      <c r="AE141" s="7"/>
    </row>
    <row r="142">
      <c r="A142" s="66" t="s">
        <v>810</v>
      </c>
      <c r="B142" s="29" t="s">
        <v>811</v>
      </c>
      <c r="C142" s="41">
        <v>1.0</v>
      </c>
      <c r="D142" s="41" t="s">
        <v>173</v>
      </c>
      <c r="E142" s="45" t="s">
        <v>53</v>
      </c>
      <c r="F142" s="45"/>
      <c r="G142" s="7" t="s">
        <v>812</v>
      </c>
      <c r="H142" s="45">
        <v>8.0</v>
      </c>
      <c r="I142" s="22" t="s">
        <v>813</v>
      </c>
      <c r="J142" s="7" t="s">
        <v>814</v>
      </c>
      <c r="K142" s="45"/>
      <c r="L142" s="22" t="s">
        <v>579</v>
      </c>
      <c r="M142" s="22" t="s">
        <v>815</v>
      </c>
      <c r="N142" s="7"/>
      <c r="O142" s="7"/>
      <c r="P142" s="22" t="s">
        <v>816</v>
      </c>
      <c r="Q142" s="7"/>
      <c r="R142" s="7"/>
      <c r="S142" s="7"/>
      <c r="T142" s="7"/>
      <c r="U142" s="7"/>
      <c r="V142" s="7"/>
      <c r="W142" s="7"/>
      <c r="X142" s="7"/>
      <c r="Y142" s="7"/>
      <c r="Z142" s="7"/>
      <c r="AA142" s="7"/>
      <c r="AB142" s="7"/>
      <c r="AC142" s="7"/>
      <c r="AD142" s="7"/>
      <c r="AE142" s="7"/>
    </row>
    <row r="143">
      <c r="A143" s="66" t="s">
        <v>817</v>
      </c>
      <c r="B143" s="29" t="s">
        <v>818</v>
      </c>
      <c r="C143" s="41">
        <v>1.0</v>
      </c>
      <c r="D143" s="41" t="s">
        <v>18</v>
      </c>
      <c r="E143" s="45"/>
      <c r="F143" s="45"/>
      <c r="G143" s="29"/>
      <c r="H143" s="45"/>
      <c r="I143" s="22" t="s">
        <v>819</v>
      </c>
      <c r="J143" s="29"/>
      <c r="K143" s="45"/>
      <c r="L143" s="22" t="s">
        <v>579</v>
      </c>
      <c r="M143" s="7"/>
      <c r="N143" s="7"/>
      <c r="O143" s="7"/>
      <c r="P143" s="7"/>
      <c r="Q143" s="7"/>
      <c r="R143" s="7"/>
      <c r="S143" s="7"/>
      <c r="T143" s="7"/>
      <c r="U143" s="7"/>
      <c r="V143" s="7"/>
      <c r="W143" s="7"/>
      <c r="X143" s="7"/>
      <c r="Y143" s="7"/>
      <c r="Z143" s="7"/>
      <c r="AA143" s="7"/>
      <c r="AB143" s="7"/>
      <c r="AC143" s="7"/>
      <c r="AD143" s="7"/>
      <c r="AE143" s="7"/>
    </row>
    <row r="144">
      <c r="A144" s="66" t="s">
        <v>820</v>
      </c>
      <c r="B144" s="29" t="s">
        <v>821</v>
      </c>
      <c r="C144" s="45">
        <v>1.0</v>
      </c>
      <c r="D144" s="41" t="s">
        <v>50</v>
      </c>
      <c r="E144" s="45"/>
      <c r="F144" s="45"/>
      <c r="G144" s="29"/>
      <c r="H144" s="45">
        <v>8.0</v>
      </c>
      <c r="I144" s="22" t="s">
        <v>822</v>
      </c>
      <c r="J144" s="29"/>
      <c r="K144" s="45" t="s">
        <v>53</v>
      </c>
      <c r="L144" s="22" t="s">
        <v>57</v>
      </c>
      <c r="M144" s="16" t="s">
        <v>823</v>
      </c>
      <c r="N144" s="7"/>
      <c r="O144" s="16" t="s">
        <v>824</v>
      </c>
      <c r="P144" s="16" t="s">
        <v>825</v>
      </c>
      <c r="Q144" s="7"/>
      <c r="R144" s="7"/>
      <c r="S144" s="7"/>
      <c r="T144" s="7"/>
      <c r="U144" s="7"/>
      <c r="V144" s="7"/>
      <c r="W144" s="7"/>
      <c r="X144" s="7"/>
      <c r="Y144" s="7"/>
      <c r="Z144" s="7"/>
      <c r="AA144" s="7"/>
      <c r="AB144" s="7"/>
      <c r="AC144" s="7"/>
      <c r="AD144" s="7"/>
      <c r="AE144" s="7"/>
    </row>
    <row r="145">
      <c r="A145" s="66" t="s">
        <v>826</v>
      </c>
      <c r="B145" s="29" t="s">
        <v>827</v>
      </c>
      <c r="C145" s="41">
        <v>1.0</v>
      </c>
      <c r="D145" s="69" t="s">
        <v>173</v>
      </c>
      <c r="E145" s="7"/>
      <c r="F145" s="7"/>
      <c r="G145" s="7"/>
      <c r="H145" s="7"/>
      <c r="I145" s="45"/>
      <c r="J145" s="7"/>
      <c r="K145" s="45"/>
      <c r="L145" s="7"/>
      <c r="M145" s="7"/>
      <c r="N145" s="7"/>
      <c r="O145" s="7"/>
      <c r="P145" s="7"/>
      <c r="Q145" s="7"/>
      <c r="R145" s="7"/>
      <c r="S145" s="7"/>
      <c r="T145" s="7"/>
      <c r="U145" s="7"/>
      <c r="V145" s="7"/>
      <c r="W145" s="7"/>
      <c r="X145" s="7"/>
      <c r="Y145" s="7"/>
      <c r="Z145" s="7"/>
      <c r="AA145" s="7"/>
      <c r="AB145" s="7"/>
      <c r="AC145" s="7"/>
      <c r="AD145" s="7"/>
      <c r="AE145" s="7"/>
    </row>
    <row r="146">
      <c r="A146" s="66" t="s">
        <v>828</v>
      </c>
      <c r="B146" s="29" t="s">
        <v>829</v>
      </c>
      <c r="C146" s="41">
        <v>1.0</v>
      </c>
      <c r="D146" s="41" t="s">
        <v>173</v>
      </c>
      <c r="E146" s="45"/>
      <c r="F146" s="45"/>
      <c r="G146" s="29"/>
      <c r="H146" s="45"/>
      <c r="I146" s="22" t="s">
        <v>830</v>
      </c>
      <c r="J146" s="29"/>
      <c r="K146" s="45"/>
      <c r="L146" s="22" t="s">
        <v>53</v>
      </c>
      <c r="M146" s="7"/>
      <c r="N146" s="7"/>
      <c r="O146" s="7"/>
      <c r="P146" s="7"/>
      <c r="Q146" s="7"/>
      <c r="R146" s="7"/>
      <c r="S146" s="7"/>
      <c r="T146" s="7"/>
      <c r="U146" s="7"/>
      <c r="V146" s="7"/>
      <c r="W146" s="7"/>
      <c r="X146" s="7"/>
      <c r="Y146" s="7"/>
      <c r="Z146" s="7"/>
      <c r="AA146" s="7"/>
      <c r="AB146" s="7"/>
      <c r="AC146" s="7"/>
      <c r="AD146" s="7"/>
      <c r="AE146" s="7"/>
    </row>
    <row r="147">
      <c r="A147" s="66" t="s">
        <v>831</v>
      </c>
      <c r="B147" s="29" t="s">
        <v>832</v>
      </c>
      <c r="C147" s="45">
        <v>1.0</v>
      </c>
      <c r="D147" s="41" t="s">
        <v>110</v>
      </c>
      <c r="E147" s="45" t="s">
        <v>57</v>
      </c>
      <c r="F147" s="45" t="s">
        <v>54</v>
      </c>
      <c r="G147" s="7" t="s">
        <v>833</v>
      </c>
      <c r="H147" s="45" t="s">
        <v>834</v>
      </c>
      <c r="I147" s="22" t="s">
        <v>835</v>
      </c>
      <c r="J147" s="7" t="s">
        <v>836</v>
      </c>
      <c r="K147" s="45" t="s">
        <v>57</v>
      </c>
      <c r="L147" s="22" t="s">
        <v>57</v>
      </c>
      <c r="M147" s="47" t="s">
        <v>837</v>
      </c>
      <c r="N147" s="33"/>
      <c r="O147" s="47" t="s">
        <v>838</v>
      </c>
      <c r="P147" s="47" t="s">
        <v>839</v>
      </c>
      <c r="Q147" s="7"/>
      <c r="R147" s="7"/>
      <c r="S147" s="7"/>
      <c r="T147" s="7"/>
      <c r="U147" s="7"/>
      <c r="V147" s="7"/>
      <c r="W147" s="7"/>
      <c r="X147" s="7"/>
      <c r="Y147" s="7"/>
      <c r="Z147" s="7"/>
      <c r="AA147" s="7"/>
      <c r="AB147" s="7"/>
      <c r="AC147" s="7"/>
      <c r="AD147" s="7"/>
      <c r="AE147" s="7"/>
    </row>
    <row r="148">
      <c r="A148" s="66" t="s">
        <v>840</v>
      </c>
      <c r="B148" s="29" t="s">
        <v>841</v>
      </c>
      <c r="C148" s="41">
        <v>1.0</v>
      </c>
      <c r="D148" s="41" t="s">
        <v>18</v>
      </c>
      <c r="E148" s="45"/>
      <c r="F148" s="45"/>
      <c r="G148" s="29"/>
      <c r="H148" s="45"/>
      <c r="I148" s="22" t="s">
        <v>842</v>
      </c>
      <c r="J148" s="29"/>
      <c r="K148" s="45"/>
      <c r="L148" s="22" t="s">
        <v>57</v>
      </c>
      <c r="M148" s="33"/>
      <c r="N148" s="33"/>
      <c r="O148" s="33"/>
      <c r="P148" s="33"/>
      <c r="Q148" s="7"/>
      <c r="R148" s="7"/>
      <c r="S148" s="7"/>
      <c r="T148" s="7"/>
      <c r="U148" s="7"/>
      <c r="V148" s="7"/>
      <c r="W148" s="7"/>
      <c r="X148" s="7"/>
      <c r="Y148" s="7"/>
      <c r="Z148" s="7"/>
      <c r="AA148" s="7"/>
      <c r="AB148" s="7"/>
      <c r="AC148" s="7"/>
      <c r="AD148" s="7"/>
      <c r="AE148" s="7"/>
    </row>
    <row r="149">
      <c r="A149" s="66" t="s">
        <v>843</v>
      </c>
      <c r="B149" s="29" t="s">
        <v>844</v>
      </c>
      <c r="C149" s="41">
        <v>2.0</v>
      </c>
      <c r="D149" s="41" t="s">
        <v>18</v>
      </c>
      <c r="E149" s="45"/>
      <c r="F149" s="45"/>
      <c r="G149" s="29"/>
      <c r="H149" s="45"/>
      <c r="I149" s="22" t="s">
        <v>845</v>
      </c>
      <c r="J149" s="29"/>
      <c r="K149" s="45"/>
      <c r="L149" s="22" t="s">
        <v>579</v>
      </c>
      <c r="M149" s="33"/>
      <c r="N149" s="33"/>
      <c r="O149" s="33"/>
      <c r="P149" s="33"/>
      <c r="Q149" s="7"/>
      <c r="R149" s="7"/>
      <c r="S149" s="7"/>
      <c r="T149" s="7"/>
      <c r="U149" s="7"/>
      <c r="V149" s="7"/>
      <c r="W149" s="7"/>
      <c r="X149" s="7"/>
      <c r="Y149" s="7"/>
      <c r="Z149" s="7"/>
      <c r="AA149" s="7"/>
      <c r="AB149" s="7"/>
      <c r="AC149" s="7"/>
      <c r="AD149" s="7"/>
      <c r="AE149" s="7"/>
    </row>
    <row r="150">
      <c r="A150" s="66" t="s">
        <v>846</v>
      </c>
      <c r="B150" s="29" t="s">
        <v>847</v>
      </c>
      <c r="C150" s="45">
        <v>1.0</v>
      </c>
      <c r="D150" s="41" t="s">
        <v>113</v>
      </c>
      <c r="E150" s="45"/>
      <c r="F150" s="45"/>
      <c r="G150" s="29"/>
      <c r="H150" s="45">
        <v>6.0</v>
      </c>
      <c r="I150" s="22" t="s">
        <v>848</v>
      </c>
      <c r="J150" s="29"/>
      <c r="K150" s="45"/>
      <c r="L150" s="22" t="s">
        <v>579</v>
      </c>
      <c r="M150" s="21" t="s">
        <v>849</v>
      </c>
      <c r="N150" s="45" t="s">
        <v>850</v>
      </c>
      <c r="O150" s="21" t="s">
        <v>851</v>
      </c>
      <c r="P150" s="21" t="s">
        <v>852</v>
      </c>
      <c r="Q150" s="7"/>
      <c r="R150" s="7"/>
      <c r="S150" s="7"/>
      <c r="T150" s="7"/>
      <c r="U150" s="7"/>
      <c r="V150" s="7"/>
      <c r="W150" s="7"/>
      <c r="X150" s="7"/>
      <c r="Y150" s="7"/>
      <c r="Z150" s="7"/>
      <c r="AA150" s="7"/>
      <c r="AB150" s="7"/>
      <c r="AC150" s="7"/>
      <c r="AD150" s="7"/>
      <c r="AE150" s="7"/>
    </row>
    <row r="151">
      <c r="A151" s="66" t="s">
        <v>853</v>
      </c>
      <c r="B151" s="29" t="s">
        <v>854</v>
      </c>
      <c r="C151" s="45">
        <v>2.0</v>
      </c>
      <c r="D151" s="41" t="s">
        <v>18</v>
      </c>
      <c r="E151" s="45"/>
      <c r="F151" s="45"/>
      <c r="G151" s="29"/>
      <c r="H151" s="45"/>
      <c r="I151" s="22" t="s">
        <v>855</v>
      </c>
      <c r="J151" s="29"/>
      <c r="K151" s="45"/>
      <c r="L151" s="22" t="s">
        <v>57</v>
      </c>
      <c r="M151" s="7"/>
      <c r="N151" s="7"/>
      <c r="O151" s="7"/>
      <c r="P151" s="7"/>
      <c r="Q151" s="7"/>
      <c r="R151" s="7"/>
      <c r="S151" s="7"/>
      <c r="T151" s="7"/>
      <c r="U151" s="7"/>
      <c r="V151" s="7"/>
      <c r="W151" s="7"/>
      <c r="X151" s="7"/>
      <c r="Y151" s="7"/>
      <c r="Z151" s="7"/>
      <c r="AA151" s="7"/>
      <c r="AB151" s="7"/>
      <c r="AC151" s="7"/>
      <c r="AD151" s="7"/>
      <c r="AE151" s="7"/>
    </row>
    <row r="152">
      <c r="A152" s="66" t="s">
        <v>856</v>
      </c>
      <c r="B152" s="29" t="s">
        <v>857</v>
      </c>
      <c r="C152" s="45">
        <v>2.0</v>
      </c>
      <c r="D152" s="41" t="s">
        <v>18</v>
      </c>
      <c r="E152" s="45"/>
      <c r="F152" s="45"/>
      <c r="G152" s="29"/>
      <c r="H152" s="45">
        <v>8.0</v>
      </c>
      <c r="I152" s="22" t="s">
        <v>858</v>
      </c>
      <c r="J152" s="29"/>
      <c r="K152" s="45"/>
      <c r="L152" s="22" t="s">
        <v>57</v>
      </c>
      <c r="M152" s="22" t="s">
        <v>859</v>
      </c>
      <c r="N152" s="7"/>
      <c r="O152" s="22" t="s">
        <v>860</v>
      </c>
      <c r="P152" s="22" t="s">
        <v>861</v>
      </c>
      <c r="Q152" s="7"/>
      <c r="R152" s="7"/>
      <c r="S152" s="7"/>
      <c r="T152" s="7"/>
      <c r="U152" s="7"/>
      <c r="V152" s="7"/>
      <c r="W152" s="7"/>
      <c r="X152" s="7"/>
      <c r="Y152" s="7"/>
      <c r="Z152" s="7"/>
      <c r="AA152" s="7"/>
      <c r="AB152" s="7"/>
      <c r="AC152" s="7"/>
      <c r="AD152" s="7"/>
      <c r="AE152" s="7"/>
    </row>
    <row r="153">
      <c r="A153" s="66" t="s">
        <v>862</v>
      </c>
      <c r="B153" s="29" t="s">
        <v>863</v>
      </c>
      <c r="C153" s="45">
        <v>2.0</v>
      </c>
      <c r="D153" s="41" t="s">
        <v>113</v>
      </c>
      <c r="E153" s="45"/>
      <c r="F153" s="45"/>
      <c r="G153" s="29"/>
      <c r="H153" s="45"/>
      <c r="I153" s="22" t="s">
        <v>864</v>
      </c>
      <c r="J153" s="29"/>
      <c r="K153" s="45"/>
      <c r="L153" s="22" t="s">
        <v>57</v>
      </c>
      <c r="M153" s="7"/>
      <c r="N153" s="7"/>
      <c r="O153" s="7"/>
      <c r="P153" s="7"/>
      <c r="Q153" s="7"/>
      <c r="R153" s="7"/>
      <c r="S153" s="7"/>
      <c r="T153" s="7"/>
      <c r="U153" s="7"/>
      <c r="V153" s="7"/>
      <c r="W153" s="7"/>
      <c r="X153" s="7"/>
      <c r="Y153" s="7"/>
      <c r="Z153" s="7"/>
      <c r="AA153" s="7"/>
      <c r="AB153" s="7"/>
      <c r="AC153" s="7"/>
      <c r="AD153" s="7"/>
      <c r="AE153" s="7"/>
    </row>
    <row r="154">
      <c r="A154" s="66" t="s">
        <v>865</v>
      </c>
      <c r="B154" s="29" t="s">
        <v>866</v>
      </c>
      <c r="C154" s="45">
        <v>1.0</v>
      </c>
      <c r="D154" s="41" t="s">
        <v>18</v>
      </c>
      <c r="E154" s="45" t="s">
        <v>57</v>
      </c>
      <c r="F154" s="45">
        <v>0.0</v>
      </c>
      <c r="G154" s="29"/>
      <c r="H154" s="45">
        <v>6.0</v>
      </c>
      <c r="I154" s="22" t="s">
        <v>867</v>
      </c>
      <c r="J154" s="67">
        <v>0.0</v>
      </c>
      <c r="K154" s="45">
        <v>0.0</v>
      </c>
      <c r="L154" s="22" t="s">
        <v>57</v>
      </c>
      <c r="M154" s="16" t="s">
        <v>868</v>
      </c>
      <c r="N154" s="25" t="s">
        <v>869</v>
      </c>
      <c r="O154" s="16" t="s">
        <v>870</v>
      </c>
      <c r="P154" s="16" t="s">
        <v>871</v>
      </c>
      <c r="Q154" s="7"/>
      <c r="R154" s="7"/>
      <c r="S154" s="7"/>
      <c r="T154" s="7"/>
      <c r="U154" s="7"/>
      <c r="V154" s="7"/>
      <c r="W154" s="7"/>
      <c r="X154" s="7"/>
      <c r="Y154" s="7"/>
      <c r="Z154" s="7"/>
      <c r="AA154" s="7"/>
      <c r="AB154" s="7"/>
      <c r="AC154" s="7"/>
      <c r="AD154" s="7"/>
      <c r="AE154" s="7"/>
    </row>
    <row r="155">
      <c r="A155" s="66" t="s">
        <v>872</v>
      </c>
      <c r="B155" s="29" t="s">
        <v>873</v>
      </c>
      <c r="C155" s="45">
        <v>2.0</v>
      </c>
      <c r="D155" s="41" t="s">
        <v>113</v>
      </c>
      <c r="E155" s="45"/>
      <c r="F155" s="45"/>
      <c r="G155" s="7"/>
      <c r="H155" s="45"/>
      <c r="I155" s="22" t="s">
        <v>874</v>
      </c>
      <c r="J155" s="7"/>
      <c r="K155" s="45"/>
      <c r="L155" s="22" t="s">
        <v>53</v>
      </c>
      <c r="M155" s="33"/>
      <c r="N155" s="33"/>
      <c r="O155" s="33"/>
      <c r="P155" s="33"/>
      <c r="Q155" s="7"/>
      <c r="R155" s="7"/>
      <c r="S155" s="7"/>
      <c r="T155" s="7"/>
      <c r="U155" s="7"/>
      <c r="V155" s="7"/>
      <c r="W155" s="7"/>
      <c r="X155" s="7"/>
      <c r="Y155" s="7"/>
      <c r="Z155" s="7"/>
      <c r="AA155" s="7"/>
      <c r="AB155" s="7"/>
      <c r="AC155" s="7"/>
      <c r="AD155" s="7"/>
      <c r="AE155" s="7"/>
    </row>
    <row r="156">
      <c r="A156" s="66" t="s">
        <v>875</v>
      </c>
      <c r="B156" s="29" t="s">
        <v>876</v>
      </c>
      <c r="C156" s="41">
        <v>1.0</v>
      </c>
      <c r="D156" s="41" t="s">
        <v>113</v>
      </c>
      <c r="E156" s="45" t="s">
        <v>57</v>
      </c>
      <c r="F156" s="45" t="s">
        <v>54</v>
      </c>
      <c r="G156" s="7" t="s">
        <v>877</v>
      </c>
      <c r="H156" s="45">
        <v>3.0</v>
      </c>
      <c r="I156" s="22" t="s">
        <v>878</v>
      </c>
      <c r="J156" s="7" t="s">
        <v>455</v>
      </c>
      <c r="K156" s="45" t="s">
        <v>57</v>
      </c>
      <c r="L156" s="22" t="s">
        <v>57</v>
      </c>
      <c r="M156" s="47" t="s">
        <v>879</v>
      </c>
      <c r="N156" s="25" t="s">
        <v>18</v>
      </c>
      <c r="O156" s="16" t="s">
        <v>880</v>
      </c>
      <c r="P156" s="16" t="s">
        <v>881</v>
      </c>
      <c r="Q156" s="7"/>
      <c r="R156" s="7"/>
      <c r="S156" s="7"/>
      <c r="T156" s="7"/>
      <c r="U156" s="7"/>
      <c r="V156" s="7"/>
      <c r="W156" s="7"/>
      <c r="X156" s="7"/>
      <c r="Y156" s="7"/>
      <c r="Z156" s="7"/>
      <c r="AA156" s="7"/>
      <c r="AB156" s="7"/>
      <c r="AC156" s="7"/>
      <c r="AD156" s="7"/>
      <c r="AE156" s="7"/>
    </row>
    <row r="157">
      <c r="A157" s="66" t="s">
        <v>882</v>
      </c>
      <c r="B157" s="29" t="s">
        <v>883</v>
      </c>
      <c r="C157" s="41">
        <v>1.0</v>
      </c>
      <c r="D157" s="41" t="s">
        <v>18</v>
      </c>
      <c r="E157" s="45" t="s">
        <v>53</v>
      </c>
      <c r="F157" s="45">
        <v>0.0</v>
      </c>
      <c r="G157" s="7" t="s">
        <v>884</v>
      </c>
      <c r="H157" s="45">
        <v>5.0</v>
      </c>
      <c r="I157" s="22" t="s">
        <v>885</v>
      </c>
      <c r="J157" s="7" t="s">
        <v>886</v>
      </c>
      <c r="K157" s="45" t="s">
        <v>57</v>
      </c>
      <c r="L157" s="22" t="s">
        <v>579</v>
      </c>
      <c r="M157" s="16" t="s">
        <v>887</v>
      </c>
      <c r="N157" s="25" t="s">
        <v>700</v>
      </c>
      <c r="O157" s="16" t="s">
        <v>888</v>
      </c>
      <c r="P157" s="16" t="s">
        <v>889</v>
      </c>
      <c r="Q157" s="7"/>
      <c r="R157" s="7"/>
      <c r="S157" s="7"/>
      <c r="T157" s="7"/>
      <c r="U157" s="7"/>
      <c r="V157" s="7"/>
      <c r="W157" s="7"/>
      <c r="X157" s="7"/>
      <c r="Y157" s="7"/>
      <c r="Z157" s="7"/>
      <c r="AA157" s="7"/>
      <c r="AB157" s="7"/>
      <c r="AC157" s="7"/>
      <c r="AD157" s="7"/>
      <c r="AE157" s="7"/>
    </row>
    <row r="158">
      <c r="A158" s="66" t="s">
        <v>890</v>
      </c>
      <c r="B158" s="29" t="s">
        <v>891</v>
      </c>
      <c r="C158" s="41">
        <v>1.0</v>
      </c>
      <c r="D158" s="41" t="s">
        <v>18</v>
      </c>
      <c r="E158" s="45"/>
      <c r="F158" s="45"/>
      <c r="G158" s="29"/>
      <c r="H158" s="45"/>
      <c r="I158" s="22" t="s">
        <v>892</v>
      </c>
      <c r="J158" s="29"/>
      <c r="K158" s="45"/>
      <c r="L158" s="22" t="s">
        <v>57</v>
      </c>
      <c r="M158" s="63"/>
      <c r="N158" s="63"/>
      <c r="O158" s="63"/>
      <c r="P158" s="63"/>
      <c r="Q158" s="7"/>
      <c r="R158" s="7"/>
      <c r="S158" s="7"/>
      <c r="T158" s="7"/>
      <c r="U158" s="7"/>
      <c r="V158" s="7"/>
      <c r="W158" s="7"/>
      <c r="X158" s="7"/>
      <c r="Y158" s="7"/>
      <c r="Z158" s="7"/>
      <c r="AA158" s="7"/>
      <c r="AB158" s="7"/>
      <c r="AC158" s="7"/>
      <c r="AD158" s="7"/>
      <c r="AE158" s="7"/>
    </row>
    <row r="159">
      <c r="A159" s="66" t="s">
        <v>893</v>
      </c>
      <c r="B159" s="29" t="s">
        <v>894</v>
      </c>
      <c r="C159" s="45">
        <v>2.0</v>
      </c>
      <c r="D159" s="37" t="s">
        <v>35</v>
      </c>
      <c r="E159" s="7"/>
      <c r="F159" s="7"/>
      <c r="G159" s="7"/>
      <c r="H159" s="7"/>
      <c r="I159" s="7"/>
      <c r="J159" s="7"/>
      <c r="K159" s="7"/>
      <c r="L159" s="7"/>
      <c r="M159" s="63"/>
      <c r="N159" s="63"/>
      <c r="O159" s="63"/>
      <c r="P159" s="63"/>
      <c r="Q159" s="7"/>
      <c r="R159" s="7"/>
      <c r="S159" s="7"/>
      <c r="T159" s="7"/>
      <c r="U159" s="7"/>
      <c r="V159" s="7"/>
      <c r="W159" s="7"/>
      <c r="X159" s="7"/>
      <c r="Y159" s="7"/>
      <c r="Z159" s="7"/>
      <c r="AA159" s="7"/>
      <c r="AB159" s="7"/>
      <c r="AC159" s="7"/>
      <c r="AD159" s="7"/>
      <c r="AE159" s="7"/>
    </row>
    <row r="160">
      <c r="A160" s="70" t="s">
        <v>895</v>
      </c>
      <c r="B160" s="20" t="s">
        <v>896</v>
      </c>
      <c r="C160" s="41">
        <v>2.0</v>
      </c>
      <c r="D160" s="37" t="s">
        <v>35</v>
      </c>
      <c r="E160" s="7"/>
      <c r="F160" s="37" t="s">
        <v>53</v>
      </c>
      <c r="G160" s="7"/>
      <c r="H160" s="7"/>
      <c r="I160" s="71" t="s">
        <v>897</v>
      </c>
      <c r="J160" s="7"/>
      <c r="K160" s="7"/>
      <c r="L160" s="7"/>
      <c r="M160" s="63"/>
      <c r="N160" s="63"/>
      <c r="O160" s="63"/>
      <c r="P160" s="63"/>
      <c r="Q160" s="7"/>
      <c r="R160" s="7"/>
      <c r="S160" s="7"/>
      <c r="T160" s="7"/>
      <c r="U160" s="7"/>
      <c r="V160" s="7"/>
      <c r="W160" s="7"/>
      <c r="X160" s="7"/>
      <c r="Y160" s="7"/>
      <c r="Z160" s="7"/>
      <c r="AA160" s="7"/>
      <c r="AB160" s="7"/>
      <c r="AC160" s="7"/>
      <c r="AD160" s="7"/>
      <c r="AE160" s="7"/>
    </row>
    <row r="161">
      <c r="A161" s="66" t="s">
        <v>898</v>
      </c>
      <c r="B161" s="29" t="s">
        <v>899</v>
      </c>
      <c r="C161" s="45">
        <v>2.0</v>
      </c>
      <c r="D161" s="72" t="s">
        <v>35</v>
      </c>
      <c r="E161" s="25" t="s">
        <v>57</v>
      </c>
      <c r="F161" s="25">
        <v>0.0</v>
      </c>
      <c r="G161" s="16" t="s">
        <v>900</v>
      </c>
      <c r="H161" s="25">
        <v>6.0</v>
      </c>
      <c r="I161" s="73" t="s">
        <v>901</v>
      </c>
      <c r="J161" s="16" t="s">
        <v>902</v>
      </c>
      <c r="K161" s="25" t="s">
        <v>57</v>
      </c>
      <c r="L161" s="73" t="s">
        <v>57</v>
      </c>
      <c r="M161" s="74" t="s">
        <v>903</v>
      </c>
      <c r="N161" s="25" t="s">
        <v>904</v>
      </c>
      <c r="O161" s="74" t="s">
        <v>905</v>
      </c>
      <c r="P161" s="74" t="s">
        <v>906</v>
      </c>
      <c r="Q161" s="7"/>
      <c r="R161" s="7"/>
      <c r="S161" s="7"/>
      <c r="T161" s="7"/>
      <c r="U161" s="7"/>
      <c r="V161" s="7"/>
      <c r="W161" s="7"/>
      <c r="X161" s="7"/>
      <c r="Y161" s="7"/>
      <c r="Z161" s="7"/>
      <c r="AA161" s="7"/>
      <c r="AB161" s="7"/>
      <c r="AC161" s="7"/>
      <c r="AD161" s="7"/>
      <c r="AE161" s="7"/>
    </row>
    <row r="162">
      <c r="A162" s="66" t="s">
        <v>907</v>
      </c>
      <c r="B162" s="29" t="s">
        <v>908</v>
      </c>
      <c r="C162" s="45">
        <v>2.0</v>
      </c>
      <c r="D162" s="37" t="s">
        <v>18</v>
      </c>
      <c r="E162" s="7"/>
      <c r="F162" s="7"/>
      <c r="G162" s="7"/>
      <c r="H162" s="7"/>
      <c r="I162" s="75" t="s">
        <v>909</v>
      </c>
      <c r="J162" s="7"/>
      <c r="K162" s="7"/>
      <c r="L162" s="7"/>
      <c r="M162" s="74" t="s">
        <v>910</v>
      </c>
      <c r="N162" s="7"/>
      <c r="O162" s="74" t="s">
        <v>911</v>
      </c>
      <c r="P162" s="74" t="s">
        <v>912</v>
      </c>
      <c r="Q162" s="7"/>
      <c r="R162" s="7"/>
      <c r="S162" s="7"/>
      <c r="T162" s="7"/>
      <c r="U162" s="7"/>
      <c r="V162" s="7"/>
      <c r="W162" s="7"/>
      <c r="X162" s="7"/>
      <c r="Y162" s="7"/>
      <c r="Z162" s="7"/>
      <c r="AA162" s="7"/>
      <c r="AB162" s="7"/>
      <c r="AC162" s="7"/>
      <c r="AD162" s="7"/>
      <c r="AE162" s="7"/>
    </row>
    <row r="163">
      <c r="A163" s="66" t="s">
        <v>913</v>
      </c>
      <c r="B163" s="29" t="s">
        <v>914</v>
      </c>
      <c r="C163" s="41">
        <v>1.0</v>
      </c>
      <c r="D163" s="37" t="s">
        <v>173</v>
      </c>
      <c r="E163" s="7"/>
      <c r="F163" s="7"/>
      <c r="G163" s="7"/>
      <c r="H163" s="7"/>
      <c r="I163" s="75" t="s">
        <v>915</v>
      </c>
      <c r="J163" s="7"/>
      <c r="K163" s="7"/>
      <c r="L163" s="7"/>
      <c r="M163" s="7"/>
      <c r="N163" s="7"/>
      <c r="O163" s="7"/>
      <c r="P163" s="7"/>
      <c r="Q163" s="7"/>
      <c r="R163" s="7"/>
      <c r="S163" s="7"/>
      <c r="T163" s="7"/>
      <c r="U163" s="7"/>
      <c r="V163" s="7"/>
      <c r="W163" s="7"/>
      <c r="X163" s="7"/>
      <c r="Y163" s="7"/>
      <c r="Z163" s="7"/>
      <c r="AA163" s="7"/>
      <c r="AB163" s="7"/>
      <c r="AC163" s="7"/>
      <c r="AD163" s="7"/>
      <c r="AE163" s="7"/>
    </row>
    <row r="164">
      <c r="A164" s="66" t="s">
        <v>916</v>
      </c>
      <c r="B164" s="29" t="s">
        <v>917</v>
      </c>
      <c r="C164" s="45">
        <v>2.0</v>
      </c>
      <c r="D164" s="37" t="s">
        <v>18</v>
      </c>
      <c r="E164" s="7"/>
      <c r="F164" s="7"/>
      <c r="G164" s="7"/>
      <c r="H164" s="7"/>
      <c r="I164" s="75" t="s">
        <v>918</v>
      </c>
      <c r="J164" s="7"/>
      <c r="K164" s="7"/>
      <c r="L164" s="7"/>
      <c r="M164" s="7"/>
      <c r="N164" s="7"/>
      <c r="O164" s="7"/>
      <c r="P164" s="7"/>
      <c r="Q164" s="7"/>
      <c r="R164" s="7"/>
      <c r="S164" s="7"/>
      <c r="T164" s="7"/>
      <c r="U164" s="7"/>
      <c r="V164" s="7"/>
      <c r="W164" s="7"/>
      <c r="X164" s="7"/>
      <c r="Y164" s="7"/>
      <c r="Z164" s="7"/>
      <c r="AA164" s="7"/>
      <c r="AB164" s="7"/>
      <c r="AC164" s="7"/>
      <c r="AD164" s="7"/>
      <c r="AE164" s="7"/>
    </row>
    <row r="165">
      <c r="A165" s="66" t="s">
        <v>919</v>
      </c>
      <c r="B165" s="29" t="s">
        <v>920</v>
      </c>
      <c r="C165" s="41">
        <v>2.0</v>
      </c>
      <c r="D165" s="37" t="s">
        <v>18</v>
      </c>
      <c r="E165" s="7"/>
      <c r="F165" s="7"/>
      <c r="G165" s="7"/>
      <c r="H165" s="7"/>
      <c r="I165" s="75" t="s">
        <v>921</v>
      </c>
      <c r="J165" s="7"/>
      <c r="K165" s="7"/>
      <c r="L165" s="7"/>
      <c r="M165" s="7"/>
      <c r="N165" s="7"/>
      <c r="O165" s="7"/>
      <c r="P165" s="7"/>
      <c r="Q165" s="7"/>
      <c r="R165" s="7"/>
      <c r="S165" s="7"/>
      <c r="T165" s="7"/>
      <c r="U165" s="7"/>
      <c r="V165" s="7"/>
      <c r="W165" s="7"/>
      <c r="X165" s="7"/>
      <c r="Y165" s="7"/>
      <c r="Z165" s="7"/>
      <c r="AA165" s="7"/>
      <c r="AB165" s="7"/>
      <c r="AC165" s="7"/>
      <c r="AD165" s="7"/>
      <c r="AE165" s="7"/>
    </row>
    <row r="166">
      <c r="A166" s="66" t="s">
        <v>922</v>
      </c>
      <c r="B166" s="29" t="s">
        <v>923</v>
      </c>
      <c r="C166" s="45">
        <v>2.0</v>
      </c>
      <c r="D166" s="37" t="s">
        <v>35</v>
      </c>
      <c r="E166" s="7"/>
      <c r="F166" s="7"/>
      <c r="G166" s="7"/>
      <c r="H166" s="7"/>
      <c r="I166" s="75" t="s">
        <v>924</v>
      </c>
      <c r="J166" s="7"/>
      <c r="K166" s="7"/>
      <c r="L166" s="7"/>
      <c r="M166" s="7"/>
      <c r="N166" s="7"/>
      <c r="O166" s="7"/>
      <c r="P166" s="7"/>
      <c r="Q166" s="7"/>
      <c r="R166" s="7"/>
      <c r="S166" s="7"/>
      <c r="T166" s="7"/>
      <c r="U166" s="7"/>
      <c r="V166" s="7"/>
      <c r="W166" s="7"/>
      <c r="X166" s="7"/>
      <c r="Y166" s="7"/>
      <c r="Z166" s="7"/>
      <c r="AA166" s="7"/>
      <c r="AB166" s="7"/>
      <c r="AC166" s="7"/>
      <c r="AD166" s="7"/>
      <c r="AE166" s="7"/>
    </row>
    <row r="167">
      <c r="A167" s="66" t="s">
        <v>925</v>
      </c>
      <c r="B167" s="29" t="s">
        <v>926</v>
      </c>
      <c r="C167" s="45">
        <v>2.0</v>
      </c>
      <c r="D167" s="37" t="s">
        <v>927</v>
      </c>
      <c r="E167" s="7"/>
      <c r="F167" s="7"/>
      <c r="G167" s="7"/>
      <c r="H167" s="7"/>
      <c r="I167" s="75" t="s">
        <v>928</v>
      </c>
      <c r="J167" s="7"/>
      <c r="K167" s="7"/>
      <c r="L167" s="7"/>
      <c r="M167" s="7"/>
      <c r="N167" s="7"/>
      <c r="O167" s="7"/>
      <c r="P167" s="7"/>
      <c r="Q167" s="7"/>
      <c r="R167" s="7"/>
      <c r="S167" s="7"/>
      <c r="T167" s="7"/>
      <c r="U167" s="7"/>
      <c r="V167" s="7"/>
      <c r="W167" s="7"/>
      <c r="X167" s="7"/>
      <c r="Y167" s="7"/>
      <c r="Z167" s="7"/>
      <c r="AA167" s="7"/>
      <c r="AB167" s="7"/>
      <c r="AC167" s="7"/>
      <c r="AD167" s="7"/>
      <c r="AE167" s="7"/>
    </row>
    <row r="168">
      <c r="A168" s="66" t="s">
        <v>929</v>
      </c>
      <c r="B168" s="29" t="s">
        <v>930</v>
      </c>
      <c r="C168" s="45">
        <v>1.0</v>
      </c>
      <c r="D168" s="37" t="s">
        <v>110</v>
      </c>
      <c r="E168" s="7"/>
      <c r="F168" s="7"/>
      <c r="G168" s="7"/>
      <c r="H168" s="7"/>
      <c r="I168" s="75" t="s">
        <v>931</v>
      </c>
      <c r="J168" s="7"/>
      <c r="K168" s="7"/>
      <c r="L168" s="7"/>
      <c r="M168" s="7"/>
      <c r="N168" s="7"/>
      <c r="O168" s="7"/>
      <c r="P168" s="7"/>
      <c r="Q168" s="7"/>
      <c r="R168" s="7"/>
      <c r="S168" s="7"/>
      <c r="T168" s="7"/>
      <c r="U168" s="7"/>
      <c r="V168" s="7"/>
      <c r="W168" s="7"/>
      <c r="X168" s="7"/>
      <c r="Y168" s="7"/>
      <c r="Z168" s="7"/>
      <c r="AA168" s="7"/>
      <c r="AB168" s="7"/>
      <c r="AC168" s="7"/>
      <c r="AD168" s="7"/>
      <c r="AE168" s="7"/>
    </row>
    <row r="169">
      <c r="A169" s="70" t="s">
        <v>932</v>
      </c>
      <c r="B169" s="29" t="s">
        <v>933</v>
      </c>
      <c r="C169" s="37">
        <v>2.0</v>
      </c>
      <c r="D169" s="37" t="s">
        <v>113</v>
      </c>
      <c r="E169" s="7"/>
      <c r="F169" s="7"/>
      <c r="G169" s="7"/>
      <c r="H169" s="7"/>
      <c r="I169" s="75" t="s">
        <v>934</v>
      </c>
      <c r="J169" s="7"/>
      <c r="K169" s="7"/>
      <c r="L169" s="7"/>
      <c r="M169" s="7"/>
      <c r="N169" s="7"/>
      <c r="O169" s="7"/>
      <c r="P169" s="7"/>
      <c r="Q169" s="7"/>
      <c r="R169" s="7"/>
      <c r="S169" s="7"/>
      <c r="T169" s="7"/>
      <c r="U169" s="7"/>
      <c r="V169" s="7"/>
      <c r="W169" s="7"/>
      <c r="X169" s="7"/>
      <c r="Y169" s="7"/>
      <c r="Z169" s="7"/>
      <c r="AA169" s="7"/>
      <c r="AB169" s="7"/>
      <c r="AC169" s="7"/>
      <c r="AD169" s="7"/>
      <c r="AE169" s="7"/>
    </row>
    <row r="170">
      <c r="A170" s="70" t="s">
        <v>935</v>
      </c>
      <c r="B170" s="29" t="s">
        <v>936</v>
      </c>
      <c r="C170" s="37">
        <v>2.0</v>
      </c>
      <c r="D170" s="37" t="s">
        <v>35</v>
      </c>
      <c r="E170" s="7"/>
      <c r="F170" s="7"/>
      <c r="G170" s="7"/>
      <c r="H170" s="7"/>
      <c r="I170" s="75" t="s">
        <v>937</v>
      </c>
      <c r="J170" s="7"/>
      <c r="K170" s="7"/>
      <c r="L170" s="7"/>
      <c r="M170" s="7"/>
      <c r="N170" s="7"/>
      <c r="O170" s="7"/>
      <c r="P170" s="7"/>
      <c r="Q170" s="7"/>
      <c r="R170" s="7"/>
      <c r="S170" s="7"/>
      <c r="T170" s="7"/>
      <c r="U170" s="7"/>
      <c r="V170" s="7"/>
      <c r="W170" s="7"/>
      <c r="X170" s="7"/>
      <c r="Y170" s="7"/>
      <c r="Z170" s="7"/>
      <c r="AA170" s="7"/>
      <c r="AB170" s="7"/>
      <c r="AC170" s="7"/>
      <c r="AD170" s="7"/>
      <c r="AE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sheetData>
  <mergeCells count="3">
    <mergeCell ref="E1:H1"/>
    <mergeCell ref="I1:L1"/>
    <mergeCell ref="M1:P1"/>
  </mergeCells>
  <conditionalFormatting sqref="I1">
    <cfRule type="notContainsBlanks" dxfId="0" priority="1">
      <formula>LEN(TRIM(I1))&gt;0</formula>
    </cfRule>
  </conditionalFormatting>
  <hyperlinks>
    <hyperlink r:id="rId1" ref="P3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17.13"/>
    <col customWidth="1" min="3" max="4" width="32.88"/>
    <col customWidth="1" min="5" max="5" width="52.75"/>
    <col customWidth="1" min="6" max="6" width="13.5"/>
    <col customWidth="1" min="7" max="7" width="37.13"/>
  </cols>
  <sheetData>
    <row r="1" ht="36.75" customHeight="1">
      <c r="A1" s="1"/>
      <c r="B1" s="1"/>
      <c r="C1" s="3"/>
      <c r="D1" s="3" t="s">
        <v>1</v>
      </c>
      <c r="E1" s="4"/>
      <c r="F1" s="1"/>
      <c r="G1" s="6" t="s">
        <v>1</v>
      </c>
      <c r="H1" s="7"/>
      <c r="I1" s="7"/>
      <c r="J1" s="7"/>
      <c r="K1" s="7"/>
      <c r="L1" s="7"/>
      <c r="M1" s="7"/>
      <c r="N1" s="7"/>
      <c r="O1" s="7"/>
      <c r="P1" s="7"/>
      <c r="Q1" s="7"/>
      <c r="R1" s="7"/>
      <c r="S1" s="7"/>
      <c r="T1" s="7"/>
      <c r="U1" s="7"/>
      <c r="V1" s="7"/>
      <c r="W1" s="7"/>
      <c r="X1" s="7"/>
    </row>
    <row r="2">
      <c r="A2" s="8" t="s">
        <v>3</v>
      </c>
      <c r="B2" s="9" t="s">
        <v>4</v>
      </c>
      <c r="C2" s="8"/>
      <c r="D2" s="8" t="s">
        <v>6</v>
      </c>
      <c r="E2" s="9" t="s">
        <v>7</v>
      </c>
      <c r="F2" s="12" t="s">
        <v>9</v>
      </c>
      <c r="G2" s="12" t="s">
        <v>12</v>
      </c>
      <c r="H2" s="7"/>
      <c r="I2" s="7"/>
      <c r="J2" s="7"/>
      <c r="K2" s="7"/>
      <c r="L2" s="7"/>
      <c r="M2" s="7"/>
      <c r="N2" s="7"/>
      <c r="O2" s="7"/>
      <c r="P2" s="7"/>
      <c r="Q2" s="7"/>
      <c r="R2" s="7"/>
      <c r="S2" s="7"/>
      <c r="T2" s="7"/>
      <c r="U2" s="7"/>
      <c r="V2" s="7"/>
      <c r="W2" s="7"/>
      <c r="X2" s="7"/>
    </row>
    <row r="3" ht="126.75" customHeight="1">
      <c r="A3" s="14" t="s">
        <v>18</v>
      </c>
      <c r="B3" s="15" t="s">
        <v>24</v>
      </c>
      <c r="C3" s="16"/>
      <c r="D3" s="16" t="s">
        <v>26</v>
      </c>
      <c r="E3" s="18" t="s">
        <v>27</v>
      </c>
      <c r="F3" s="18" t="s">
        <v>28</v>
      </c>
      <c r="G3" s="7"/>
      <c r="H3" s="7"/>
      <c r="I3" s="7"/>
      <c r="J3" s="7"/>
      <c r="K3" s="7"/>
      <c r="L3" s="7"/>
      <c r="M3" s="7"/>
      <c r="N3" s="7"/>
      <c r="O3" s="7"/>
      <c r="P3" s="7"/>
      <c r="Q3" s="7"/>
      <c r="R3" s="7"/>
      <c r="S3" s="7"/>
      <c r="T3" s="7"/>
      <c r="U3" s="7"/>
      <c r="V3" s="7"/>
      <c r="W3" s="7"/>
      <c r="X3" s="7"/>
    </row>
    <row r="4" ht="80.25" customHeight="1">
      <c r="C4" s="16"/>
      <c r="D4" s="16" t="s">
        <v>31</v>
      </c>
      <c r="E4" s="18" t="s">
        <v>32</v>
      </c>
      <c r="F4" s="18" t="s">
        <v>34</v>
      </c>
      <c r="G4" s="7"/>
      <c r="H4" s="7"/>
      <c r="I4" s="7"/>
      <c r="J4" s="7"/>
      <c r="K4" s="7"/>
      <c r="L4" s="7"/>
      <c r="M4" s="7"/>
      <c r="N4" s="7"/>
      <c r="O4" s="7"/>
      <c r="P4" s="7"/>
      <c r="Q4" s="7"/>
      <c r="R4" s="7"/>
      <c r="S4" s="7"/>
      <c r="T4" s="7"/>
      <c r="U4" s="7"/>
      <c r="V4" s="7"/>
      <c r="W4" s="7"/>
      <c r="X4" s="7"/>
    </row>
    <row r="5" ht="62.25" customHeight="1">
      <c r="C5" s="16"/>
      <c r="D5" s="16" t="s">
        <v>36</v>
      </c>
      <c r="E5" s="18" t="s">
        <v>38</v>
      </c>
      <c r="F5" s="18" t="s">
        <v>39</v>
      </c>
      <c r="G5" s="7"/>
      <c r="H5" s="7"/>
      <c r="I5" s="7"/>
      <c r="J5" s="7"/>
      <c r="K5" s="7"/>
      <c r="L5" s="7"/>
      <c r="M5" s="7"/>
      <c r="N5" s="7"/>
      <c r="O5" s="7"/>
      <c r="P5" s="7"/>
      <c r="Q5" s="7"/>
      <c r="R5" s="7"/>
      <c r="S5" s="7"/>
      <c r="T5" s="7"/>
      <c r="U5" s="7"/>
      <c r="V5" s="7"/>
      <c r="W5" s="7"/>
      <c r="X5" s="7"/>
    </row>
    <row r="6" ht="36.0" customHeight="1">
      <c r="C6" s="16"/>
      <c r="D6" s="16" t="s">
        <v>40</v>
      </c>
      <c r="E6" s="18" t="s">
        <v>41</v>
      </c>
      <c r="F6" s="18" t="s">
        <v>42</v>
      </c>
      <c r="G6" s="7"/>
      <c r="H6" s="7"/>
      <c r="I6" s="7"/>
      <c r="J6" s="7"/>
      <c r="K6" s="7"/>
      <c r="L6" s="7"/>
      <c r="M6" s="7"/>
      <c r="N6" s="7"/>
      <c r="O6" s="7"/>
      <c r="P6" s="7"/>
      <c r="Q6" s="7"/>
      <c r="R6" s="7"/>
      <c r="S6" s="7"/>
      <c r="T6" s="7"/>
      <c r="U6" s="7"/>
      <c r="V6" s="7"/>
      <c r="W6" s="7"/>
      <c r="X6" s="7"/>
    </row>
    <row r="7" ht="47.25" customHeight="1">
      <c r="C7" s="16"/>
      <c r="E7" s="18" t="s">
        <v>47</v>
      </c>
      <c r="F7" s="18" t="s">
        <v>48</v>
      </c>
      <c r="G7" s="7"/>
      <c r="H7" s="7"/>
      <c r="I7" s="7"/>
      <c r="J7" s="7"/>
      <c r="K7" s="7"/>
      <c r="L7" s="7"/>
      <c r="M7" s="7"/>
      <c r="N7" s="7"/>
      <c r="O7" s="7"/>
      <c r="P7" s="7"/>
      <c r="Q7" s="7"/>
      <c r="R7" s="7"/>
      <c r="S7" s="7"/>
      <c r="T7" s="7"/>
      <c r="U7" s="7"/>
      <c r="V7" s="7"/>
      <c r="W7" s="7"/>
      <c r="X7" s="7"/>
    </row>
    <row r="8" ht="189.0" customHeight="1">
      <c r="A8" s="27" t="s">
        <v>50</v>
      </c>
      <c r="B8" s="7"/>
      <c r="C8" s="7"/>
      <c r="D8" s="7"/>
      <c r="E8" s="7"/>
      <c r="F8" s="7"/>
      <c r="G8" s="7"/>
      <c r="H8" s="7"/>
      <c r="I8" s="7"/>
      <c r="J8" s="7"/>
      <c r="K8" s="7"/>
      <c r="L8" s="7"/>
      <c r="M8" s="7"/>
      <c r="N8" s="7"/>
      <c r="O8" s="7"/>
      <c r="P8" s="7"/>
      <c r="Q8" s="7"/>
      <c r="R8" s="7"/>
      <c r="S8" s="7"/>
      <c r="T8" s="7"/>
      <c r="U8" s="7"/>
      <c r="V8" s="7"/>
      <c r="W8" s="7"/>
      <c r="X8" s="7"/>
    </row>
    <row r="9" ht="201.75" customHeight="1">
      <c r="A9" s="27" t="s">
        <v>60</v>
      </c>
      <c r="B9" s="28" t="s">
        <v>62</v>
      </c>
      <c r="C9" s="7"/>
      <c r="D9" s="7"/>
      <c r="E9" s="34" t="s">
        <v>63</v>
      </c>
      <c r="F9" s="18" t="s">
        <v>78</v>
      </c>
      <c r="G9" s="18" t="s">
        <v>80</v>
      </c>
      <c r="H9" s="7"/>
      <c r="I9" s="7"/>
      <c r="J9" s="7"/>
      <c r="K9" s="7"/>
      <c r="L9" s="7"/>
      <c r="M9" s="7"/>
      <c r="N9" s="7"/>
      <c r="O9" s="7"/>
      <c r="P9" s="7"/>
      <c r="Q9" s="7"/>
      <c r="R9" s="7"/>
      <c r="S9" s="7"/>
      <c r="T9" s="7"/>
      <c r="U9" s="7"/>
      <c r="V9" s="7"/>
      <c r="W9" s="7"/>
      <c r="X9" s="7"/>
    </row>
    <row r="10">
      <c r="A10" s="27" t="s">
        <v>84</v>
      </c>
      <c r="B10" s="35" t="s">
        <v>85</v>
      </c>
      <c r="C10" s="7"/>
      <c r="D10" s="7"/>
      <c r="E10" s="34" t="s">
        <v>86</v>
      </c>
      <c r="F10" s="7"/>
      <c r="G10" s="7"/>
      <c r="H10" s="7"/>
      <c r="I10" s="7"/>
      <c r="J10" s="7"/>
      <c r="K10" s="7"/>
      <c r="L10" s="7"/>
      <c r="M10" s="7"/>
      <c r="N10" s="7"/>
      <c r="O10" s="7"/>
      <c r="P10" s="7"/>
      <c r="Q10" s="7"/>
      <c r="R10" s="7"/>
      <c r="S10" s="7"/>
      <c r="T10" s="7"/>
      <c r="U10" s="7"/>
      <c r="V10" s="7"/>
      <c r="W10" s="7"/>
      <c r="X10" s="7"/>
    </row>
    <row r="11">
      <c r="A11" s="27" t="s">
        <v>105</v>
      </c>
      <c r="B11" s="7"/>
      <c r="C11" s="7"/>
      <c r="D11" s="7"/>
      <c r="E11" s="7"/>
      <c r="F11" s="7"/>
      <c r="G11" s="7"/>
      <c r="H11" s="7"/>
      <c r="I11" s="7"/>
      <c r="J11" s="7"/>
      <c r="K11" s="7"/>
      <c r="L11" s="7"/>
      <c r="M11" s="7"/>
      <c r="N11" s="7"/>
      <c r="O11" s="7"/>
      <c r="P11" s="7"/>
      <c r="Q11" s="7"/>
      <c r="R11" s="7"/>
      <c r="S11" s="7"/>
      <c r="T11" s="7"/>
      <c r="U11" s="7"/>
      <c r="V11" s="7"/>
      <c r="W11" s="7"/>
      <c r="X11" s="7"/>
    </row>
    <row r="12">
      <c r="A12" s="27" t="s">
        <v>110</v>
      </c>
      <c r="B12" s="7"/>
      <c r="C12" s="7"/>
      <c r="D12" s="7"/>
      <c r="E12" s="7"/>
      <c r="F12" s="7"/>
      <c r="G12" s="7"/>
      <c r="H12" s="7"/>
      <c r="I12" s="7"/>
      <c r="J12" s="7"/>
      <c r="K12" s="7"/>
      <c r="L12" s="7"/>
      <c r="M12" s="7"/>
      <c r="N12" s="7"/>
      <c r="O12" s="7"/>
      <c r="P12" s="7"/>
      <c r="Q12" s="7"/>
      <c r="R12" s="7"/>
      <c r="S12" s="7"/>
      <c r="T12" s="7"/>
      <c r="U12" s="7"/>
      <c r="V12" s="7"/>
      <c r="W12" s="7"/>
      <c r="X12" s="7"/>
    </row>
    <row r="13">
      <c r="A13" s="36" t="s">
        <v>113</v>
      </c>
      <c r="B13" s="37" t="s">
        <v>117</v>
      </c>
      <c r="C13" s="38" t="s">
        <v>121</v>
      </c>
      <c r="D13" s="35" t="s">
        <v>122</v>
      </c>
      <c r="E13" s="35" t="s">
        <v>123</v>
      </c>
      <c r="F13" s="35" t="s">
        <v>126</v>
      </c>
      <c r="G13" s="7"/>
      <c r="H13" s="7"/>
      <c r="I13" s="7"/>
      <c r="J13" s="7"/>
      <c r="K13" s="7"/>
      <c r="L13" s="7"/>
      <c r="M13" s="7"/>
      <c r="N13" s="7"/>
      <c r="O13" s="7"/>
      <c r="P13" s="7"/>
      <c r="Q13" s="7"/>
      <c r="R13" s="7"/>
      <c r="S13" s="7"/>
      <c r="T13" s="7"/>
      <c r="U13" s="7"/>
      <c r="V13" s="7"/>
      <c r="W13" s="7"/>
      <c r="X13" s="7"/>
    </row>
    <row r="14">
      <c r="C14" s="38" t="s">
        <v>129</v>
      </c>
      <c r="D14" s="35" t="s">
        <v>130</v>
      </c>
      <c r="E14" s="7"/>
      <c r="F14" s="35" t="s">
        <v>133</v>
      </c>
      <c r="G14" s="7"/>
      <c r="H14" s="7"/>
      <c r="I14" s="7"/>
      <c r="J14" s="7"/>
      <c r="K14" s="7"/>
      <c r="L14" s="7"/>
      <c r="M14" s="7"/>
      <c r="N14" s="7"/>
      <c r="O14" s="7"/>
      <c r="P14" s="7"/>
      <c r="Q14" s="7"/>
      <c r="R14" s="7"/>
      <c r="S14" s="7"/>
      <c r="T14" s="7"/>
      <c r="U14" s="7"/>
      <c r="V14" s="7"/>
      <c r="W14" s="7"/>
      <c r="X14" s="7"/>
    </row>
    <row r="15">
      <c r="C15" s="38" t="s">
        <v>137</v>
      </c>
      <c r="D15" s="7"/>
      <c r="E15" s="7"/>
      <c r="F15" s="7"/>
      <c r="G15" s="7"/>
      <c r="H15" s="7"/>
      <c r="I15" s="7"/>
      <c r="J15" s="7"/>
      <c r="K15" s="7"/>
      <c r="L15" s="7"/>
      <c r="M15" s="7"/>
      <c r="N15" s="7"/>
      <c r="O15" s="7"/>
      <c r="P15" s="7"/>
      <c r="Q15" s="7"/>
      <c r="R15" s="7"/>
      <c r="S15" s="7"/>
      <c r="T15" s="7"/>
      <c r="U15" s="7"/>
      <c r="V15" s="7"/>
      <c r="W15" s="7"/>
      <c r="X15" s="7"/>
    </row>
    <row r="16">
      <c r="C16" s="38" t="s">
        <v>141</v>
      </c>
      <c r="D16" s="7"/>
      <c r="E16" s="7"/>
      <c r="F16" s="7"/>
      <c r="G16" s="7"/>
      <c r="H16" s="7"/>
      <c r="I16" s="7"/>
      <c r="J16" s="7"/>
      <c r="K16" s="7"/>
      <c r="L16" s="7"/>
      <c r="M16" s="7"/>
      <c r="N16" s="7"/>
      <c r="O16" s="7"/>
      <c r="P16" s="7"/>
      <c r="Q16" s="7"/>
      <c r="R16" s="7"/>
      <c r="S16" s="7"/>
      <c r="T16" s="7"/>
      <c r="U16" s="7"/>
      <c r="V16" s="7"/>
      <c r="W16" s="7"/>
      <c r="X16" s="7"/>
    </row>
    <row r="17">
      <c r="C17" s="38" t="s">
        <v>144</v>
      </c>
      <c r="D17" s="7"/>
      <c r="E17" s="7"/>
      <c r="F17" s="7"/>
      <c r="G17" s="7"/>
      <c r="H17" s="7"/>
      <c r="I17" s="7"/>
      <c r="J17" s="7"/>
      <c r="K17" s="7"/>
      <c r="L17" s="7"/>
      <c r="M17" s="7"/>
      <c r="N17" s="7"/>
      <c r="O17" s="7"/>
      <c r="P17" s="7"/>
      <c r="Q17" s="7"/>
      <c r="R17" s="7"/>
      <c r="S17" s="7"/>
      <c r="T17" s="7"/>
      <c r="U17" s="7"/>
      <c r="V17" s="7"/>
      <c r="W17" s="7"/>
      <c r="X17" s="7"/>
    </row>
    <row r="18">
      <c r="C18" s="38" t="s">
        <v>146</v>
      </c>
      <c r="D18" s="7"/>
      <c r="E18" s="7"/>
      <c r="F18" s="7"/>
      <c r="G18" s="7"/>
      <c r="H18" s="7"/>
      <c r="I18" s="7"/>
      <c r="J18" s="7"/>
      <c r="K18" s="7"/>
      <c r="L18" s="7"/>
      <c r="M18" s="7"/>
      <c r="N18" s="7"/>
      <c r="O18" s="7"/>
      <c r="P18" s="7"/>
      <c r="Q18" s="7"/>
      <c r="R18" s="7"/>
      <c r="S18" s="7"/>
      <c r="T18" s="7"/>
      <c r="U18" s="7"/>
      <c r="V18" s="7"/>
      <c r="W18" s="7"/>
      <c r="X18" s="7"/>
    </row>
    <row r="19">
      <c r="C19" s="38" t="s">
        <v>152</v>
      </c>
      <c r="D19" s="7"/>
      <c r="E19" s="7"/>
      <c r="F19" s="7"/>
      <c r="G19" s="7"/>
      <c r="H19" s="7"/>
      <c r="I19" s="7"/>
      <c r="J19" s="7"/>
      <c r="K19" s="7"/>
      <c r="L19" s="7"/>
      <c r="M19" s="7"/>
      <c r="N19" s="7"/>
      <c r="O19" s="7"/>
      <c r="P19" s="7"/>
      <c r="Q19" s="7"/>
      <c r="R19" s="7"/>
      <c r="S19" s="7"/>
      <c r="T19" s="7"/>
      <c r="U19" s="7"/>
      <c r="V19" s="7"/>
      <c r="W19" s="7"/>
      <c r="X19" s="7"/>
    </row>
    <row r="20">
      <c r="C20" s="38" t="s">
        <v>156</v>
      </c>
      <c r="D20" s="7"/>
      <c r="E20" s="7"/>
      <c r="F20" s="7"/>
      <c r="G20" s="7"/>
      <c r="H20" s="7"/>
      <c r="I20" s="7"/>
      <c r="J20" s="7"/>
      <c r="K20" s="7"/>
      <c r="L20" s="7"/>
      <c r="M20" s="7"/>
      <c r="N20" s="7"/>
      <c r="O20" s="7"/>
      <c r="P20" s="7"/>
      <c r="Q20" s="7"/>
      <c r="R20" s="7"/>
      <c r="S20" s="7"/>
      <c r="T20" s="7"/>
      <c r="U20" s="7"/>
      <c r="V20" s="7"/>
      <c r="W20" s="7"/>
      <c r="X20" s="7"/>
    </row>
    <row r="21">
      <c r="A21" s="39" t="s">
        <v>161</v>
      </c>
      <c r="B21" s="7"/>
      <c r="C21" s="7"/>
      <c r="D21" s="7"/>
      <c r="E21" s="7"/>
      <c r="F21" s="7"/>
      <c r="G21" s="7"/>
      <c r="H21" s="7"/>
      <c r="I21" s="7"/>
      <c r="J21" s="7"/>
      <c r="K21" s="7"/>
      <c r="L21" s="7"/>
      <c r="M21" s="7"/>
      <c r="N21" s="7"/>
      <c r="O21" s="7"/>
      <c r="P21" s="7"/>
      <c r="Q21" s="7"/>
      <c r="R21" s="7"/>
      <c r="S21" s="7"/>
      <c r="T21" s="7"/>
      <c r="U21" s="7"/>
      <c r="V21" s="7"/>
      <c r="W21" s="7"/>
      <c r="X21" s="7"/>
    </row>
    <row r="22">
      <c r="A22" s="39" t="s">
        <v>167</v>
      </c>
      <c r="B22" s="18" t="s">
        <v>169</v>
      </c>
      <c r="C22" s="7"/>
      <c r="D22" s="7"/>
      <c r="E22" s="7"/>
      <c r="F22" s="7"/>
      <c r="G22" s="7"/>
      <c r="H22" s="7"/>
      <c r="I22" s="7"/>
      <c r="J22" s="7"/>
      <c r="K22" s="7"/>
      <c r="L22" s="7"/>
      <c r="M22" s="7"/>
      <c r="N22" s="7"/>
      <c r="O22" s="7"/>
      <c r="P22" s="7"/>
      <c r="Q22" s="7"/>
      <c r="R22" s="7"/>
      <c r="S22" s="7"/>
      <c r="T22" s="7"/>
      <c r="U22" s="7"/>
      <c r="V22" s="7"/>
      <c r="W22" s="7"/>
      <c r="X22" s="7"/>
    </row>
    <row r="23">
      <c r="A23" s="39" t="s">
        <v>173</v>
      </c>
      <c r="B23" s="7"/>
      <c r="C23" s="7"/>
      <c r="D23" s="7"/>
      <c r="E23" s="7"/>
      <c r="F23" s="7"/>
      <c r="G23" s="18" t="s">
        <v>176</v>
      </c>
      <c r="H23" s="7"/>
      <c r="I23" s="7"/>
      <c r="J23" s="7"/>
      <c r="K23" s="7"/>
      <c r="L23" s="7"/>
      <c r="M23" s="7"/>
      <c r="N23" s="7"/>
      <c r="O23" s="7"/>
      <c r="P23" s="7"/>
      <c r="Q23" s="7"/>
      <c r="R23" s="7"/>
      <c r="S23" s="7"/>
      <c r="T23" s="7"/>
      <c r="U23" s="7"/>
      <c r="V23" s="7"/>
      <c r="W23" s="7"/>
      <c r="X23" s="7"/>
    </row>
    <row r="24">
      <c r="A24" s="7"/>
      <c r="B24" s="7"/>
      <c r="C24" s="7"/>
      <c r="D24" s="7"/>
      <c r="E24" s="7"/>
      <c r="F24" s="7"/>
      <c r="G24" s="7"/>
      <c r="H24" s="7"/>
      <c r="I24" s="7"/>
      <c r="J24" s="7"/>
      <c r="K24" s="7"/>
      <c r="L24" s="7"/>
      <c r="M24" s="7"/>
      <c r="N24" s="7"/>
      <c r="O24" s="7"/>
      <c r="P24" s="7"/>
      <c r="Q24" s="7"/>
      <c r="R24" s="7"/>
      <c r="S24" s="7"/>
      <c r="T24" s="7"/>
      <c r="U24" s="7"/>
      <c r="V24" s="7"/>
      <c r="W24" s="7"/>
      <c r="X24" s="7"/>
    </row>
    <row r="25">
      <c r="A25" s="7"/>
      <c r="B25" s="7"/>
      <c r="C25" s="7"/>
      <c r="D25" s="7"/>
      <c r="E25" s="7"/>
      <c r="F25" s="7"/>
      <c r="G25" s="7"/>
      <c r="H25" s="7"/>
      <c r="I25" s="7"/>
      <c r="J25" s="7"/>
      <c r="K25" s="7"/>
      <c r="L25" s="7"/>
      <c r="M25" s="7"/>
      <c r="N25" s="7"/>
      <c r="O25" s="7"/>
      <c r="P25" s="7"/>
      <c r="Q25" s="7"/>
      <c r="R25" s="7"/>
      <c r="S25" s="7"/>
      <c r="T25" s="7"/>
      <c r="U25" s="7"/>
      <c r="V25" s="7"/>
      <c r="W25" s="7"/>
      <c r="X25" s="7"/>
    </row>
    <row r="26">
      <c r="A26" s="7"/>
      <c r="B26" s="7"/>
      <c r="C26" s="7"/>
      <c r="D26" s="7"/>
      <c r="E26" s="7"/>
      <c r="F26" s="7"/>
      <c r="G26" s="7"/>
      <c r="H26" s="7"/>
      <c r="I26" s="7"/>
      <c r="J26" s="7"/>
      <c r="K26" s="7"/>
      <c r="L26" s="7"/>
      <c r="M26" s="7"/>
      <c r="N26" s="7"/>
      <c r="O26" s="7"/>
      <c r="P26" s="7"/>
      <c r="Q26" s="7"/>
      <c r="R26" s="7"/>
      <c r="S26" s="7"/>
      <c r="T26" s="7"/>
      <c r="U26" s="7"/>
      <c r="V26" s="7"/>
      <c r="W26" s="7"/>
      <c r="X26" s="7"/>
    </row>
    <row r="27">
      <c r="A27" s="7"/>
      <c r="B27" s="7"/>
      <c r="C27" s="7"/>
      <c r="D27" s="7"/>
      <c r="E27" s="7"/>
      <c r="F27" s="7"/>
      <c r="G27" s="7"/>
      <c r="H27" s="7"/>
      <c r="I27" s="7"/>
      <c r="J27" s="7"/>
      <c r="K27" s="7"/>
      <c r="L27" s="7"/>
      <c r="M27" s="7"/>
      <c r="N27" s="7"/>
      <c r="O27" s="7"/>
      <c r="P27" s="7"/>
      <c r="Q27" s="7"/>
      <c r="R27" s="7"/>
      <c r="S27" s="7"/>
      <c r="T27" s="7"/>
      <c r="U27" s="7"/>
      <c r="V27" s="7"/>
      <c r="W27" s="7"/>
      <c r="X27" s="7"/>
    </row>
    <row r="28">
      <c r="A28" s="7"/>
      <c r="B28" s="7"/>
      <c r="C28" s="7"/>
      <c r="D28" s="7"/>
      <c r="E28" s="7"/>
      <c r="F28" s="7"/>
      <c r="G28" s="7"/>
      <c r="H28" s="7"/>
      <c r="I28" s="7"/>
      <c r="J28" s="7"/>
      <c r="K28" s="7"/>
      <c r="L28" s="7"/>
      <c r="M28" s="7"/>
      <c r="N28" s="7"/>
      <c r="O28" s="7"/>
      <c r="P28" s="7"/>
      <c r="Q28" s="7"/>
      <c r="R28" s="7"/>
      <c r="S28" s="7"/>
      <c r="T28" s="7"/>
      <c r="U28" s="7"/>
      <c r="V28" s="7"/>
      <c r="W28" s="7"/>
      <c r="X28" s="7"/>
    </row>
    <row r="29">
      <c r="A29" s="7"/>
      <c r="B29" s="7"/>
      <c r="C29" s="7"/>
      <c r="D29" s="7"/>
      <c r="E29" s="7"/>
      <c r="F29" s="7"/>
      <c r="G29" s="7"/>
      <c r="H29" s="7"/>
      <c r="I29" s="7"/>
      <c r="J29" s="7"/>
      <c r="K29" s="7"/>
      <c r="L29" s="7"/>
      <c r="M29" s="7"/>
      <c r="N29" s="7"/>
      <c r="O29" s="7"/>
      <c r="P29" s="7"/>
      <c r="Q29" s="7"/>
      <c r="R29" s="7"/>
      <c r="S29" s="7"/>
      <c r="T29" s="7"/>
      <c r="U29" s="7"/>
      <c r="V29" s="7"/>
      <c r="W29" s="7"/>
      <c r="X29" s="7"/>
    </row>
    <row r="30">
      <c r="A30" s="7"/>
      <c r="B30" s="7"/>
      <c r="C30" s="7"/>
      <c r="D30" s="7"/>
      <c r="E30" s="7"/>
      <c r="F30" s="7"/>
      <c r="G30" s="7"/>
      <c r="H30" s="7"/>
      <c r="I30" s="7"/>
      <c r="J30" s="7"/>
      <c r="K30" s="7"/>
      <c r="L30" s="7"/>
      <c r="M30" s="7"/>
      <c r="N30" s="7"/>
      <c r="O30" s="7"/>
      <c r="P30" s="7"/>
      <c r="Q30" s="7"/>
      <c r="R30" s="7"/>
      <c r="S30" s="7"/>
      <c r="T30" s="7"/>
      <c r="U30" s="7"/>
      <c r="V30" s="7"/>
      <c r="W30" s="7"/>
      <c r="X30" s="7"/>
    </row>
    <row r="31">
      <c r="A31" s="7"/>
      <c r="B31" s="7"/>
      <c r="C31" s="7"/>
      <c r="D31" s="7"/>
      <c r="E31" s="7"/>
      <c r="F31" s="7"/>
      <c r="G31" s="7"/>
      <c r="H31" s="7"/>
      <c r="I31" s="7"/>
      <c r="J31" s="7"/>
      <c r="K31" s="7"/>
      <c r="L31" s="7"/>
      <c r="M31" s="7"/>
      <c r="N31" s="7"/>
      <c r="O31" s="7"/>
      <c r="P31" s="7"/>
      <c r="Q31" s="7"/>
      <c r="R31" s="7"/>
      <c r="S31" s="7"/>
      <c r="T31" s="7"/>
      <c r="U31" s="7"/>
      <c r="V31" s="7"/>
      <c r="W31" s="7"/>
      <c r="X31" s="7"/>
    </row>
    <row r="32">
      <c r="A32" s="7"/>
      <c r="B32" s="7"/>
      <c r="C32" s="7"/>
      <c r="D32" s="7"/>
      <c r="E32" s="7"/>
      <c r="F32" s="7"/>
      <c r="G32" s="7"/>
      <c r="H32" s="7"/>
      <c r="I32" s="7"/>
      <c r="J32" s="7"/>
      <c r="K32" s="7"/>
      <c r="L32" s="7"/>
      <c r="M32" s="7"/>
      <c r="N32" s="7"/>
      <c r="O32" s="7"/>
      <c r="P32" s="7"/>
      <c r="Q32" s="7"/>
      <c r="R32" s="7"/>
      <c r="S32" s="7"/>
      <c r="T32" s="7"/>
      <c r="U32" s="7"/>
      <c r="V32" s="7"/>
      <c r="W32" s="7"/>
      <c r="X32" s="7"/>
    </row>
    <row r="33">
      <c r="A33" s="7"/>
      <c r="B33" s="7"/>
      <c r="C33" s="7"/>
      <c r="D33" s="7"/>
      <c r="E33" s="7"/>
      <c r="F33" s="7"/>
      <c r="G33" s="7"/>
      <c r="H33" s="7"/>
      <c r="I33" s="7"/>
      <c r="J33" s="7"/>
      <c r="K33" s="7"/>
      <c r="L33" s="7"/>
      <c r="M33" s="7"/>
      <c r="N33" s="7"/>
      <c r="O33" s="7"/>
      <c r="P33" s="7"/>
      <c r="Q33" s="7"/>
      <c r="R33" s="7"/>
      <c r="S33" s="7"/>
      <c r="T33" s="7"/>
      <c r="U33" s="7"/>
      <c r="V33" s="7"/>
      <c r="W33" s="7"/>
      <c r="X33" s="7"/>
    </row>
    <row r="34">
      <c r="A34" s="7"/>
      <c r="B34" s="7"/>
      <c r="C34" s="7"/>
      <c r="D34" s="7"/>
      <c r="E34" s="7"/>
      <c r="F34" s="7"/>
      <c r="G34" s="7"/>
      <c r="H34" s="7"/>
      <c r="I34" s="7"/>
      <c r="J34" s="7"/>
      <c r="K34" s="7"/>
      <c r="L34" s="7"/>
      <c r="M34" s="7"/>
      <c r="N34" s="7"/>
      <c r="O34" s="7"/>
      <c r="P34" s="7"/>
      <c r="Q34" s="7"/>
      <c r="R34" s="7"/>
      <c r="S34" s="7"/>
      <c r="T34" s="7"/>
      <c r="U34" s="7"/>
      <c r="V34" s="7"/>
      <c r="W34" s="7"/>
      <c r="X34" s="7"/>
    </row>
    <row r="35">
      <c r="A35" s="7"/>
      <c r="B35" s="7"/>
      <c r="C35" s="7"/>
      <c r="D35" s="7"/>
      <c r="E35" s="7"/>
      <c r="F35" s="7"/>
      <c r="G35" s="7"/>
      <c r="H35" s="7"/>
      <c r="I35" s="7"/>
      <c r="J35" s="7"/>
      <c r="K35" s="7"/>
      <c r="L35" s="7"/>
      <c r="M35" s="7"/>
      <c r="N35" s="7"/>
      <c r="O35" s="7"/>
      <c r="P35" s="7"/>
      <c r="Q35" s="7"/>
      <c r="R35" s="7"/>
      <c r="S35" s="7"/>
      <c r="T35" s="7"/>
      <c r="U35" s="7"/>
      <c r="V35" s="7"/>
      <c r="W35" s="7"/>
      <c r="X35" s="7"/>
    </row>
    <row r="36">
      <c r="A36" s="7"/>
      <c r="B36" s="7"/>
      <c r="C36" s="7"/>
      <c r="D36" s="7"/>
      <c r="E36" s="7"/>
      <c r="F36" s="7"/>
      <c r="G36" s="7"/>
      <c r="H36" s="7"/>
      <c r="I36" s="7"/>
      <c r="J36" s="7"/>
      <c r="K36" s="7"/>
      <c r="L36" s="7"/>
      <c r="M36" s="7"/>
      <c r="N36" s="7"/>
      <c r="O36" s="7"/>
      <c r="P36" s="7"/>
      <c r="Q36" s="7"/>
      <c r="R36" s="7"/>
      <c r="S36" s="7"/>
      <c r="T36" s="7"/>
      <c r="U36" s="7"/>
      <c r="V36" s="7"/>
      <c r="W36" s="7"/>
      <c r="X36" s="7"/>
    </row>
    <row r="37">
      <c r="A37" s="7"/>
      <c r="B37" s="7"/>
      <c r="C37" s="7"/>
      <c r="D37" s="7"/>
      <c r="E37" s="7"/>
      <c r="F37" s="7"/>
      <c r="G37" s="7"/>
      <c r="H37" s="7"/>
      <c r="I37" s="7"/>
      <c r="J37" s="7"/>
      <c r="K37" s="7"/>
      <c r="L37" s="7"/>
      <c r="M37" s="7"/>
      <c r="N37" s="7"/>
      <c r="O37" s="7"/>
      <c r="P37" s="7"/>
      <c r="Q37" s="7"/>
      <c r="R37" s="7"/>
      <c r="S37" s="7"/>
      <c r="T37" s="7"/>
      <c r="U37" s="7"/>
      <c r="V37" s="7"/>
      <c r="W37" s="7"/>
      <c r="X37" s="7"/>
    </row>
    <row r="38">
      <c r="A38" s="7"/>
      <c r="B38" s="7"/>
      <c r="C38" s="7"/>
      <c r="D38" s="7"/>
      <c r="E38" s="7"/>
      <c r="F38" s="7"/>
      <c r="G38" s="7"/>
      <c r="H38" s="7"/>
      <c r="I38" s="7"/>
      <c r="J38" s="7"/>
      <c r="K38" s="7"/>
      <c r="L38" s="7"/>
      <c r="M38" s="7"/>
      <c r="N38" s="7"/>
      <c r="O38" s="7"/>
      <c r="P38" s="7"/>
      <c r="Q38" s="7"/>
      <c r="R38" s="7"/>
      <c r="S38" s="7"/>
      <c r="T38" s="7"/>
      <c r="U38" s="7"/>
      <c r="V38" s="7"/>
      <c r="W38" s="7"/>
      <c r="X38" s="7"/>
    </row>
    <row r="39">
      <c r="A39" s="7"/>
      <c r="B39" s="7"/>
      <c r="C39" s="7"/>
      <c r="D39" s="7"/>
      <c r="E39" s="7"/>
      <c r="F39" s="7"/>
      <c r="G39" s="7"/>
      <c r="H39" s="7"/>
      <c r="I39" s="7"/>
      <c r="J39" s="7"/>
      <c r="K39" s="7"/>
      <c r="L39" s="7"/>
      <c r="M39" s="7"/>
      <c r="N39" s="7"/>
      <c r="O39" s="7"/>
      <c r="P39" s="7"/>
      <c r="Q39" s="7"/>
      <c r="R39" s="7"/>
      <c r="S39" s="7"/>
      <c r="T39" s="7"/>
      <c r="U39" s="7"/>
      <c r="V39" s="7"/>
      <c r="W39" s="7"/>
      <c r="X39" s="7"/>
    </row>
    <row r="40">
      <c r="A40" s="7"/>
      <c r="B40" s="7"/>
      <c r="C40" s="7"/>
      <c r="D40" s="7"/>
      <c r="E40" s="7"/>
      <c r="F40" s="7"/>
      <c r="G40" s="7"/>
      <c r="H40" s="7"/>
      <c r="I40" s="7"/>
      <c r="J40" s="7"/>
      <c r="K40" s="7"/>
      <c r="L40" s="7"/>
      <c r="M40" s="7"/>
      <c r="N40" s="7"/>
      <c r="O40" s="7"/>
      <c r="P40" s="7"/>
      <c r="Q40" s="7"/>
      <c r="R40" s="7"/>
      <c r="S40" s="7"/>
      <c r="T40" s="7"/>
      <c r="U40" s="7"/>
      <c r="V40" s="7"/>
      <c r="W40" s="7"/>
      <c r="X40" s="7"/>
    </row>
    <row r="41">
      <c r="A41" s="7"/>
      <c r="B41" s="7"/>
      <c r="C41" s="7"/>
      <c r="D41" s="7"/>
      <c r="E41" s="7"/>
      <c r="F41" s="7"/>
      <c r="G41" s="7"/>
      <c r="H41" s="7"/>
      <c r="I41" s="7"/>
      <c r="J41" s="7"/>
      <c r="K41" s="7"/>
      <c r="L41" s="7"/>
      <c r="M41" s="7"/>
      <c r="N41" s="7"/>
      <c r="O41" s="7"/>
      <c r="P41" s="7"/>
      <c r="Q41" s="7"/>
      <c r="R41" s="7"/>
      <c r="S41" s="7"/>
      <c r="T41" s="7"/>
      <c r="U41" s="7"/>
      <c r="V41" s="7"/>
      <c r="W41" s="7"/>
      <c r="X41" s="7"/>
    </row>
    <row r="42">
      <c r="A42" s="7"/>
      <c r="B42" s="7"/>
      <c r="C42" s="7"/>
      <c r="D42" s="7"/>
      <c r="E42" s="7"/>
      <c r="F42" s="7"/>
      <c r="G42" s="7"/>
      <c r="H42" s="7"/>
      <c r="I42" s="7"/>
      <c r="J42" s="7"/>
      <c r="K42" s="7"/>
      <c r="L42" s="7"/>
      <c r="M42" s="7"/>
      <c r="N42" s="7"/>
      <c r="O42" s="7"/>
      <c r="P42" s="7"/>
      <c r="Q42" s="7"/>
      <c r="R42" s="7"/>
      <c r="S42" s="7"/>
      <c r="T42" s="7"/>
      <c r="U42" s="7"/>
      <c r="V42" s="7"/>
      <c r="W42" s="7"/>
      <c r="X42" s="7"/>
    </row>
    <row r="43">
      <c r="A43" s="7"/>
      <c r="B43" s="7"/>
      <c r="C43" s="7"/>
      <c r="D43" s="7"/>
      <c r="E43" s="7"/>
      <c r="F43" s="7"/>
      <c r="G43" s="7"/>
      <c r="H43" s="7"/>
      <c r="I43" s="7"/>
      <c r="J43" s="7"/>
      <c r="K43" s="7"/>
      <c r="L43" s="7"/>
      <c r="M43" s="7"/>
      <c r="N43" s="7"/>
      <c r="O43" s="7"/>
      <c r="P43" s="7"/>
      <c r="Q43" s="7"/>
      <c r="R43" s="7"/>
      <c r="S43" s="7"/>
      <c r="T43" s="7"/>
      <c r="U43" s="7"/>
      <c r="V43" s="7"/>
      <c r="W43" s="7"/>
      <c r="X43" s="7"/>
    </row>
    <row r="44">
      <c r="A44" s="7"/>
      <c r="B44" s="7"/>
      <c r="C44" s="7"/>
      <c r="D44" s="7"/>
      <c r="E44" s="7"/>
      <c r="F44" s="7"/>
      <c r="G44" s="7"/>
      <c r="H44" s="7"/>
      <c r="I44" s="7"/>
      <c r="J44" s="7"/>
      <c r="K44" s="7"/>
      <c r="L44" s="7"/>
      <c r="M44" s="7"/>
      <c r="N44" s="7"/>
      <c r="O44" s="7"/>
      <c r="P44" s="7"/>
      <c r="Q44" s="7"/>
      <c r="R44" s="7"/>
      <c r="S44" s="7"/>
      <c r="T44" s="7"/>
      <c r="U44" s="7"/>
      <c r="V44" s="7"/>
      <c r="W44" s="7"/>
      <c r="X44" s="7"/>
    </row>
    <row r="45">
      <c r="A45" s="7"/>
      <c r="B45" s="7"/>
      <c r="C45" s="7"/>
      <c r="D45" s="7"/>
      <c r="E45" s="7"/>
      <c r="F45" s="7"/>
      <c r="G45" s="7"/>
      <c r="H45" s="7"/>
      <c r="I45" s="7"/>
      <c r="J45" s="7"/>
      <c r="K45" s="7"/>
      <c r="L45" s="7"/>
      <c r="M45" s="7"/>
      <c r="N45" s="7"/>
      <c r="O45" s="7"/>
      <c r="P45" s="7"/>
      <c r="Q45" s="7"/>
      <c r="R45" s="7"/>
      <c r="S45" s="7"/>
      <c r="T45" s="7"/>
      <c r="U45" s="7"/>
      <c r="V45" s="7"/>
      <c r="W45" s="7"/>
      <c r="X45" s="7"/>
    </row>
    <row r="46">
      <c r="A46" s="7"/>
      <c r="B46" s="7"/>
      <c r="C46" s="7"/>
      <c r="D46" s="7"/>
      <c r="E46" s="7"/>
      <c r="F46" s="7"/>
      <c r="G46" s="7"/>
      <c r="H46" s="7"/>
      <c r="I46" s="7"/>
      <c r="J46" s="7"/>
      <c r="K46" s="7"/>
      <c r="L46" s="7"/>
      <c r="M46" s="7"/>
      <c r="N46" s="7"/>
      <c r="O46" s="7"/>
      <c r="P46" s="7"/>
      <c r="Q46" s="7"/>
      <c r="R46" s="7"/>
      <c r="S46" s="7"/>
      <c r="T46" s="7"/>
      <c r="U46" s="7"/>
      <c r="V46" s="7"/>
      <c r="W46" s="7"/>
      <c r="X46" s="7"/>
    </row>
    <row r="47">
      <c r="A47" s="7"/>
      <c r="B47" s="7"/>
      <c r="C47" s="7"/>
      <c r="D47" s="7"/>
      <c r="E47" s="7"/>
      <c r="F47" s="7"/>
      <c r="G47" s="7"/>
      <c r="H47" s="7"/>
      <c r="I47" s="7"/>
      <c r="J47" s="7"/>
      <c r="K47" s="7"/>
      <c r="L47" s="7"/>
      <c r="M47" s="7"/>
      <c r="N47" s="7"/>
      <c r="O47" s="7"/>
      <c r="P47" s="7"/>
      <c r="Q47" s="7"/>
      <c r="R47" s="7"/>
      <c r="S47" s="7"/>
      <c r="T47" s="7"/>
      <c r="U47" s="7"/>
      <c r="V47" s="7"/>
      <c r="W47" s="7"/>
      <c r="X47" s="7"/>
    </row>
    <row r="48">
      <c r="A48" s="7"/>
      <c r="B48" s="7"/>
      <c r="C48" s="7"/>
      <c r="D48" s="7"/>
      <c r="E48" s="7"/>
      <c r="F48" s="7"/>
      <c r="G48" s="7"/>
      <c r="H48" s="7"/>
      <c r="I48" s="7"/>
      <c r="J48" s="7"/>
      <c r="K48" s="7"/>
      <c r="L48" s="7"/>
      <c r="M48" s="7"/>
      <c r="N48" s="7"/>
      <c r="O48" s="7"/>
      <c r="P48" s="7"/>
      <c r="Q48" s="7"/>
      <c r="R48" s="7"/>
      <c r="S48" s="7"/>
      <c r="T48" s="7"/>
      <c r="U48" s="7"/>
      <c r="V48" s="7"/>
      <c r="W48" s="7"/>
      <c r="X48" s="7"/>
    </row>
    <row r="49">
      <c r="A49" s="7"/>
      <c r="B49" s="7"/>
      <c r="C49" s="7"/>
      <c r="D49" s="7"/>
      <c r="E49" s="7"/>
      <c r="F49" s="7"/>
      <c r="G49" s="7"/>
      <c r="H49" s="7"/>
      <c r="I49" s="7"/>
      <c r="J49" s="7"/>
      <c r="K49" s="7"/>
      <c r="L49" s="7"/>
      <c r="M49" s="7"/>
      <c r="N49" s="7"/>
      <c r="O49" s="7"/>
      <c r="P49" s="7"/>
      <c r="Q49" s="7"/>
      <c r="R49" s="7"/>
      <c r="S49" s="7"/>
      <c r="T49" s="7"/>
      <c r="U49" s="7"/>
      <c r="V49" s="7"/>
      <c r="W49" s="7"/>
      <c r="X49" s="7"/>
    </row>
    <row r="50">
      <c r="A50" s="7"/>
      <c r="B50" s="7"/>
      <c r="C50" s="7"/>
      <c r="D50" s="7"/>
      <c r="E50" s="7"/>
      <c r="F50" s="7"/>
      <c r="G50" s="7"/>
      <c r="H50" s="7"/>
      <c r="I50" s="7"/>
      <c r="J50" s="7"/>
      <c r="K50" s="7"/>
      <c r="L50" s="7"/>
      <c r="M50" s="7"/>
      <c r="N50" s="7"/>
      <c r="O50" s="7"/>
      <c r="P50" s="7"/>
      <c r="Q50" s="7"/>
      <c r="R50" s="7"/>
      <c r="S50" s="7"/>
      <c r="T50" s="7"/>
      <c r="U50" s="7"/>
      <c r="V50" s="7"/>
      <c r="W50" s="7"/>
      <c r="X50" s="7"/>
    </row>
    <row r="51">
      <c r="A51" s="7"/>
      <c r="B51" s="7"/>
      <c r="C51" s="7"/>
      <c r="D51" s="7"/>
      <c r="E51" s="7"/>
      <c r="F51" s="7"/>
      <c r="G51" s="7"/>
      <c r="H51" s="7"/>
      <c r="I51" s="7"/>
      <c r="J51" s="7"/>
      <c r="K51" s="7"/>
      <c r="L51" s="7"/>
      <c r="M51" s="7"/>
      <c r="N51" s="7"/>
      <c r="O51" s="7"/>
      <c r="P51" s="7"/>
      <c r="Q51" s="7"/>
      <c r="R51" s="7"/>
      <c r="S51" s="7"/>
      <c r="T51" s="7"/>
      <c r="U51" s="7"/>
      <c r="V51" s="7"/>
      <c r="W51" s="7"/>
      <c r="X51" s="7"/>
    </row>
    <row r="52">
      <c r="A52" s="7"/>
      <c r="B52" s="7"/>
      <c r="C52" s="7"/>
      <c r="D52" s="7"/>
      <c r="E52" s="7"/>
      <c r="F52" s="7"/>
      <c r="G52" s="7"/>
      <c r="H52" s="7"/>
      <c r="I52" s="7"/>
      <c r="J52" s="7"/>
      <c r="K52" s="7"/>
      <c r="L52" s="7"/>
      <c r="M52" s="7"/>
      <c r="N52" s="7"/>
      <c r="O52" s="7"/>
      <c r="P52" s="7"/>
      <c r="Q52" s="7"/>
      <c r="R52" s="7"/>
      <c r="S52" s="7"/>
      <c r="T52" s="7"/>
      <c r="U52" s="7"/>
      <c r="V52" s="7"/>
      <c r="W52" s="7"/>
      <c r="X52" s="7"/>
    </row>
    <row r="53">
      <c r="A53" s="7"/>
      <c r="B53" s="7"/>
      <c r="C53" s="7"/>
      <c r="D53" s="7"/>
      <c r="E53" s="7"/>
      <c r="F53" s="7"/>
      <c r="G53" s="7"/>
      <c r="H53" s="7"/>
      <c r="I53" s="7"/>
      <c r="J53" s="7"/>
      <c r="K53" s="7"/>
      <c r="L53" s="7"/>
      <c r="M53" s="7"/>
      <c r="N53" s="7"/>
      <c r="O53" s="7"/>
      <c r="P53" s="7"/>
      <c r="Q53" s="7"/>
      <c r="R53" s="7"/>
      <c r="S53" s="7"/>
      <c r="T53" s="7"/>
      <c r="U53" s="7"/>
      <c r="V53" s="7"/>
      <c r="W53" s="7"/>
      <c r="X53" s="7"/>
    </row>
    <row r="54">
      <c r="A54" s="7"/>
      <c r="B54" s="7"/>
      <c r="C54" s="7"/>
      <c r="D54" s="7"/>
      <c r="E54" s="7"/>
      <c r="F54" s="7"/>
      <c r="G54" s="7"/>
      <c r="H54" s="7"/>
      <c r="I54" s="7"/>
      <c r="J54" s="7"/>
      <c r="K54" s="7"/>
      <c r="L54" s="7"/>
      <c r="M54" s="7"/>
      <c r="N54" s="7"/>
      <c r="O54" s="7"/>
      <c r="P54" s="7"/>
      <c r="Q54" s="7"/>
      <c r="R54" s="7"/>
      <c r="S54" s="7"/>
      <c r="T54" s="7"/>
      <c r="U54" s="7"/>
      <c r="V54" s="7"/>
      <c r="W54" s="7"/>
      <c r="X54" s="7"/>
    </row>
    <row r="55">
      <c r="A55" s="7"/>
      <c r="B55" s="7"/>
      <c r="C55" s="7"/>
      <c r="D55" s="7"/>
      <c r="E55" s="7"/>
      <c r="F55" s="7"/>
      <c r="G55" s="7"/>
      <c r="H55" s="7"/>
      <c r="I55" s="7"/>
      <c r="J55" s="7"/>
      <c r="K55" s="7"/>
      <c r="L55" s="7"/>
      <c r="M55" s="7"/>
      <c r="N55" s="7"/>
      <c r="O55" s="7"/>
      <c r="P55" s="7"/>
      <c r="Q55" s="7"/>
      <c r="R55" s="7"/>
      <c r="S55" s="7"/>
      <c r="T55" s="7"/>
      <c r="U55" s="7"/>
      <c r="V55" s="7"/>
      <c r="W55" s="7"/>
      <c r="X55" s="7"/>
    </row>
    <row r="56">
      <c r="A56" s="7"/>
      <c r="B56" s="7"/>
      <c r="C56" s="7"/>
      <c r="D56" s="7"/>
      <c r="E56" s="7"/>
      <c r="F56" s="7"/>
      <c r="G56" s="7"/>
      <c r="H56" s="7"/>
      <c r="I56" s="7"/>
      <c r="J56" s="7"/>
      <c r="K56" s="7"/>
      <c r="L56" s="7"/>
      <c r="M56" s="7"/>
      <c r="N56" s="7"/>
      <c r="O56" s="7"/>
      <c r="P56" s="7"/>
      <c r="Q56" s="7"/>
      <c r="R56" s="7"/>
      <c r="S56" s="7"/>
      <c r="T56" s="7"/>
      <c r="U56" s="7"/>
      <c r="V56" s="7"/>
      <c r="W56" s="7"/>
      <c r="X56" s="7"/>
    </row>
    <row r="57">
      <c r="A57" s="7"/>
      <c r="B57" s="7"/>
      <c r="C57" s="7"/>
      <c r="D57" s="7"/>
      <c r="E57" s="7"/>
      <c r="F57" s="7"/>
      <c r="G57" s="7"/>
      <c r="H57" s="7"/>
      <c r="I57" s="7"/>
      <c r="J57" s="7"/>
      <c r="K57" s="7"/>
      <c r="L57" s="7"/>
      <c r="M57" s="7"/>
      <c r="N57" s="7"/>
      <c r="O57" s="7"/>
      <c r="P57" s="7"/>
      <c r="Q57" s="7"/>
      <c r="R57" s="7"/>
      <c r="S57" s="7"/>
      <c r="T57" s="7"/>
      <c r="U57" s="7"/>
      <c r="V57" s="7"/>
      <c r="W57" s="7"/>
      <c r="X57" s="7"/>
    </row>
    <row r="58">
      <c r="A58" s="7"/>
      <c r="B58" s="7"/>
      <c r="C58" s="7"/>
      <c r="D58" s="7"/>
      <c r="E58" s="7"/>
      <c r="F58" s="7"/>
      <c r="G58" s="7"/>
      <c r="H58" s="7"/>
      <c r="I58" s="7"/>
      <c r="J58" s="7"/>
      <c r="K58" s="7"/>
      <c r="L58" s="7"/>
      <c r="M58" s="7"/>
      <c r="N58" s="7"/>
      <c r="O58" s="7"/>
      <c r="P58" s="7"/>
      <c r="Q58" s="7"/>
      <c r="R58" s="7"/>
      <c r="S58" s="7"/>
      <c r="T58" s="7"/>
      <c r="U58" s="7"/>
      <c r="V58" s="7"/>
      <c r="W58" s="7"/>
      <c r="X58" s="7"/>
    </row>
    <row r="59">
      <c r="A59" s="7"/>
      <c r="B59" s="7"/>
      <c r="C59" s="7"/>
      <c r="D59" s="7"/>
      <c r="E59" s="7"/>
      <c r="F59" s="7"/>
      <c r="G59" s="7"/>
      <c r="H59" s="7"/>
      <c r="I59" s="7"/>
      <c r="J59" s="7"/>
      <c r="K59" s="7"/>
      <c r="L59" s="7"/>
      <c r="M59" s="7"/>
      <c r="N59" s="7"/>
      <c r="O59" s="7"/>
      <c r="P59" s="7"/>
      <c r="Q59" s="7"/>
      <c r="R59" s="7"/>
      <c r="S59" s="7"/>
      <c r="T59" s="7"/>
      <c r="U59" s="7"/>
      <c r="V59" s="7"/>
      <c r="W59" s="7"/>
      <c r="X59" s="7"/>
    </row>
    <row r="60">
      <c r="A60" s="7"/>
      <c r="B60" s="7"/>
      <c r="C60" s="7"/>
      <c r="D60" s="7"/>
      <c r="E60" s="7"/>
      <c r="F60" s="7"/>
      <c r="G60" s="7"/>
      <c r="H60" s="7"/>
      <c r="I60" s="7"/>
      <c r="J60" s="7"/>
      <c r="K60" s="7"/>
      <c r="L60" s="7"/>
      <c r="M60" s="7"/>
      <c r="N60" s="7"/>
      <c r="O60" s="7"/>
      <c r="P60" s="7"/>
      <c r="Q60" s="7"/>
      <c r="R60" s="7"/>
      <c r="S60" s="7"/>
      <c r="T60" s="7"/>
      <c r="U60" s="7"/>
      <c r="V60" s="7"/>
      <c r="W60" s="7"/>
      <c r="X60" s="7"/>
    </row>
    <row r="61">
      <c r="A61" s="7"/>
      <c r="B61" s="7"/>
      <c r="C61" s="7"/>
      <c r="D61" s="7"/>
      <c r="E61" s="7"/>
      <c r="F61" s="7"/>
      <c r="G61" s="7"/>
      <c r="H61" s="7"/>
      <c r="I61" s="7"/>
      <c r="J61" s="7"/>
      <c r="K61" s="7"/>
      <c r="L61" s="7"/>
      <c r="M61" s="7"/>
      <c r="N61" s="7"/>
      <c r="O61" s="7"/>
      <c r="P61" s="7"/>
      <c r="Q61" s="7"/>
      <c r="R61" s="7"/>
      <c r="S61" s="7"/>
      <c r="T61" s="7"/>
      <c r="U61" s="7"/>
      <c r="V61" s="7"/>
      <c r="W61" s="7"/>
      <c r="X61" s="7"/>
    </row>
    <row r="62">
      <c r="A62" s="7"/>
      <c r="B62" s="7"/>
      <c r="C62" s="7"/>
      <c r="D62" s="7"/>
      <c r="E62" s="7"/>
      <c r="F62" s="7"/>
      <c r="G62" s="7"/>
      <c r="H62" s="7"/>
      <c r="I62" s="7"/>
      <c r="J62" s="7"/>
      <c r="K62" s="7"/>
      <c r="L62" s="7"/>
      <c r="M62" s="7"/>
      <c r="N62" s="7"/>
      <c r="O62" s="7"/>
      <c r="P62" s="7"/>
      <c r="Q62" s="7"/>
      <c r="R62" s="7"/>
      <c r="S62" s="7"/>
      <c r="T62" s="7"/>
      <c r="U62" s="7"/>
      <c r="V62" s="7"/>
      <c r="W62" s="7"/>
      <c r="X62" s="7"/>
    </row>
    <row r="63">
      <c r="A63" s="7"/>
      <c r="B63" s="7"/>
      <c r="C63" s="7"/>
      <c r="D63" s="7"/>
      <c r="E63" s="7"/>
      <c r="F63" s="7"/>
      <c r="G63" s="7"/>
      <c r="H63" s="7"/>
      <c r="I63" s="7"/>
      <c r="J63" s="7"/>
      <c r="K63" s="7"/>
      <c r="L63" s="7"/>
      <c r="M63" s="7"/>
      <c r="N63" s="7"/>
      <c r="O63" s="7"/>
      <c r="P63" s="7"/>
      <c r="Q63" s="7"/>
      <c r="R63" s="7"/>
      <c r="S63" s="7"/>
      <c r="T63" s="7"/>
      <c r="U63" s="7"/>
      <c r="V63" s="7"/>
      <c r="W63" s="7"/>
      <c r="X63" s="7"/>
    </row>
    <row r="64">
      <c r="A64" s="7"/>
      <c r="B64" s="7"/>
      <c r="C64" s="7"/>
      <c r="D64" s="7"/>
      <c r="E64" s="7"/>
      <c r="F64" s="7"/>
      <c r="G64" s="7"/>
      <c r="H64" s="7"/>
      <c r="I64" s="7"/>
      <c r="J64" s="7"/>
      <c r="K64" s="7"/>
      <c r="L64" s="7"/>
      <c r="M64" s="7"/>
      <c r="N64" s="7"/>
      <c r="O64" s="7"/>
      <c r="P64" s="7"/>
      <c r="Q64" s="7"/>
      <c r="R64" s="7"/>
      <c r="S64" s="7"/>
      <c r="T64" s="7"/>
      <c r="U64" s="7"/>
      <c r="V64" s="7"/>
      <c r="W64" s="7"/>
      <c r="X64" s="7"/>
    </row>
    <row r="65">
      <c r="A65" s="7"/>
      <c r="B65" s="7"/>
      <c r="C65" s="7"/>
      <c r="D65" s="7"/>
      <c r="E65" s="7"/>
      <c r="F65" s="7"/>
      <c r="G65" s="7"/>
      <c r="H65" s="7"/>
      <c r="I65" s="7"/>
      <c r="J65" s="7"/>
      <c r="K65" s="7"/>
      <c r="L65" s="7"/>
      <c r="M65" s="7"/>
      <c r="N65" s="7"/>
      <c r="O65" s="7"/>
      <c r="P65" s="7"/>
      <c r="Q65" s="7"/>
      <c r="R65" s="7"/>
      <c r="S65" s="7"/>
      <c r="T65" s="7"/>
      <c r="U65" s="7"/>
      <c r="V65" s="7"/>
      <c r="W65" s="7"/>
      <c r="X65" s="7"/>
    </row>
    <row r="66">
      <c r="A66" s="7"/>
      <c r="B66" s="7"/>
      <c r="C66" s="7"/>
      <c r="D66" s="7"/>
      <c r="E66" s="7"/>
      <c r="F66" s="7"/>
      <c r="G66" s="7"/>
      <c r="H66" s="7"/>
      <c r="I66" s="7"/>
      <c r="J66" s="7"/>
      <c r="K66" s="7"/>
      <c r="L66" s="7"/>
      <c r="M66" s="7"/>
      <c r="N66" s="7"/>
      <c r="O66" s="7"/>
      <c r="P66" s="7"/>
      <c r="Q66" s="7"/>
      <c r="R66" s="7"/>
      <c r="S66" s="7"/>
      <c r="T66" s="7"/>
      <c r="U66" s="7"/>
      <c r="V66" s="7"/>
      <c r="W66" s="7"/>
      <c r="X66" s="7"/>
    </row>
    <row r="67">
      <c r="A67" s="7"/>
      <c r="B67" s="7"/>
      <c r="C67" s="7"/>
      <c r="D67" s="7"/>
      <c r="E67" s="7"/>
      <c r="F67" s="7"/>
      <c r="G67" s="7"/>
      <c r="H67" s="7"/>
      <c r="I67" s="7"/>
      <c r="J67" s="7"/>
      <c r="K67" s="7"/>
      <c r="L67" s="7"/>
      <c r="M67" s="7"/>
      <c r="N67" s="7"/>
      <c r="O67" s="7"/>
      <c r="P67" s="7"/>
      <c r="Q67" s="7"/>
      <c r="R67" s="7"/>
      <c r="S67" s="7"/>
      <c r="T67" s="7"/>
      <c r="U67" s="7"/>
      <c r="V67" s="7"/>
      <c r="W67" s="7"/>
      <c r="X67" s="7"/>
    </row>
    <row r="68">
      <c r="A68" s="7"/>
      <c r="B68" s="7"/>
      <c r="C68" s="7"/>
      <c r="D68" s="7"/>
      <c r="E68" s="7"/>
      <c r="F68" s="7"/>
      <c r="G68" s="7"/>
      <c r="H68" s="7"/>
      <c r="I68" s="7"/>
      <c r="J68" s="7"/>
      <c r="K68" s="7"/>
      <c r="L68" s="7"/>
      <c r="M68" s="7"/>
      <c r="N68" s="7"/>
      <c r="O68" s="7"/>
      <c r="P68" s="7"/>
      <c r="Q68" s="7"/>
      <c r="R68" s="7"/>
      <c r="S68" s="7"/>
      <c r="T68" s="7"/>
      <c r="U68" s="7"/>
      <c r="V68" s="7"/>
      <c r="W68" s="7"/>
      <c r="X68" s="7"/>
    </row>
    <row r="69">
      <c r="A69" s="7"/>
      <c r="B69" s="7"/>
      <c r="C69" s="7"/>
      <c r="D69" s="7"/>
      <c r="E69" s="7"/>
      <c r="F69" s="7"/>
      <c r="G69" s="7"/>
      <c r="H69" s="7"/>
      <c r="I69" s="7"/>
      <c r="J69" s="7"/>
      <c r="K69" s="7"/>
      <c r="L69" s="7"/>
      <c r="M69" s="7"/>
      <c r="N69" s="7"/>
      <c r="O69" s="7"/>
      <c r="P69" s="7"/>
      <c r="Q69" s="7"/>
      <c r="R69" s="7"/>
      <c r="S69" s="7"/>
      <c r="T69" s="7"/>
      <c r="U69" s="7"/>
      <c r="V69" s="7"/>
      <c r="W69" s="7"/>
      <c r="X69" s="7"/>
    </row>
    <row r="70">
      <c r="A70" s="7"/>
      <c r="B70" s="7"/>
      <c r="C70" s="7"/>
      <c r="D70" s="7"/>
      <c r="E70" s="7"/>
      <c r="F70" s="7"/>
      <c r="G70" s="7"/>
      <c r="H70" s="7"/>
      <c r="I70" s="7"/>
      <c r="J70" s="7"/>
      <c r="K70" s="7"/>
      <c r="L70" s="7"/>
      <c r="M70" s="7"/>
      <c r="N70" s="7"/>
      <c r="O70" s="7"/>
      <c r="P70" s="7"/>
      <c r="Q70" s="7"/>
      <c r="R70" s="7"/>
      <c r="S70" s="7"/>
      <c r="T70" s="7"/>
      <c r="U70" s="7"/>
      <c r="V70" s="7"/>
      <c r="W70" s="7"/>
      <c r="X70" s="7"/>
    </row>
    <row r="71">
      <c r="A71" s="7"/>
      <c r="B71" s="7"/>
      <c r="C71" s="7"/>
      <c r="D71" s="7"/>
      <c r="E71" s="7"/>
      <c r="F71" s="7"/>
      <c r="G71" s="7"/>
      <c r="H71" s="7"/>
      <c r="I71" s="7"/>
      <c r="J71" s="7"/>
      <c r="K71" s="7"/>
      <c r="L71" s="7"/>
      <c r="M71" s="7"/>
      <c r="N71" s="7"/>
      <c r="O71" s="7"/>
      <c r="P71" s="7"/>
      <c r="Q71" s="7"/>
      <c r="R71" s="7"/>
      <c r="S71" s="7"/>
      <c r="T71" s="7"/>
      <c r="U71" s="7"/>
      <c r="V71" s="7"/>
      <c r="W71" s="7"/>
      <c r="X71" s="7"/>
    </row>
    <row r="72">
      <c r="A72" s="7"/>
      <c r="B72" s="7"/>
      <c r="C72" s="7"/>
      <c r="D72" s="7"/>
      <c r="E72" s="7"/>
      <c r="F72" s="7"/>
      <c r="G72" s="7"/>
      <c r="H72" s="7"/>
      <c r="I72" s="7"/>
      <c r="J72" s="7"/>
      <c r="K72" s="7"/>
      <c r="L72" s="7"/>
      <c r="M72" s="7"/>
      <c r="N72" s="7"/>
      <c r="O72" s="7"/>
      <c r="P72" s="7"/>
      <c r="Q72" s="7"/>
      <c r="R72" s="7"/>
      <c r="S72" s="7"/>
      <c r="T72" s="7"/>
      <c r="U72" s="7"/>
      <c r="V72" s="7"/>
      <c r="W72" s="7"/>
      <c r="X72" s="7"/>
    </row>
    <row r="73">
      <c r="A73" s="7"/>
      <c r="B73" s="7"/>
      <c r="C73" s="7"/>
      <c r="D73" s="7"/>
      <c r="E73" s="7"/>
      <c r="F73" s="7"/>
      <c r="G73" s="7"/>
      <c r="H73" s="7"/>
      <c r="I73" s="7"/>
      <c r="J73" s="7"/>
      <c r="K73" s="7"/>
      <c r="L73" s="7"/>
      <c r="M73" s="7"/>
      <c r="N73" s="7"/>
      <c r="O73" s="7"/>
      <c r="P73" s="7"/>
      <c r="Q73" s="7"/>
      <c r="R73" s="7"/>
      <c r="S73" s="7"/>
      <c r="T73" s="7"/>
      <c r="U73" s="7"/>
      <c r="V73" s="7"/>
      <c r="W73" s="7"/>
      <c r="X73" s="7"/>
    </row>
    <row r="74">
      <c r="A74" s="7"/>
      <c r="B74" s="7"/>
      <c r="C74" s="7"/>
      <c r="D74" s="7"/>
      <c r="E74" s="7"/>
      <c r="F74" s="7"/>
      <c r="G74" s="7"/>
      <c r="H74" s="7"/>
      <c r="I74" s="7"/>
      <c r="J74" s="7"/>
      <c r="K74" s="7"/>
      <c r="L74" s="7"/>
      <c r="M74" s="7"/>
      <c r="N74" s="7"/>
      <c r="O74" s="7"/>
      <c r="P74" s="7"/>
      <c r="Q74" s="7"/>
      <c r="R74" s="7"/>
      <c r="S74" s="7"/>
      <c r="T74" s="7"/>
      <c r="U74" s="7"/>
      <c r="V74" s="7"/>
      <c r="W74" s="7"/>
      <c r="X74" s="7"/>
    </row>
    <row r="75">
      <c r="A75" s="7"/>
      <c r="B75" s="7"/>
      <c r="C75" s="7"/>
      <c r="D75" s="7"/>
      <c r="E75" s="7"/>
      <c r="F75" s="7"/>
      <c r="G75" s="7"/>
      <c r="H75" s="7"/>
      <c r="I75" s="7"/>
      <c r="J75" s="7"/>
      <c r="K75" s="7"/>
      <c r="L75" s="7"/>
      <c r="M75" s="7"/>
      <c r="N75" s="7"/>
      <c r="O75" s="7"/>
      <c r="P75" s="7"/>
      <c r="Q75" s="7"/>
      <c r="R75" s="7"/>
      <c r="S75" s="7"/>
      <c r="T75" s="7"/>
      <c r="U75" s="7"/>
      <c r="V75" s="7"/>
      <c r="W75" s="7"/>
      <c r="X75" s="7"/>
    </row>
    <row r="76">
      <c r="A76" s="7"/>
      <c r="B76" s="7"/>
      <c r="C76" s="7"/>
      <c r="D76" s="7"/>
      <c r="E76" s="7"/>
      <c r="F76" s="7"/>
      <c r="G76" s="7"/>
      <c r="H76" s="7"/>
      <c r="I76" s="7"/>
      <c r="J76" s="7"/>
      <c r="K76" s="7"/>
      <c r="L76" s="7"/>
      <c r="M76" s="7"/>
      <c r="N76" s="7"/>
      <c r="O76" s="7"/>
      <c r="P76" s="7"/>
      <c r="Q76" s="7"/>
      <c r="R76" s="7"/>
      <c r="S76" s="7"/>
      <c r="T76" s="7"/>
      <c r="U76" s="7"/>
      <c r="V76" s="7"/>
      <c r="W76" s="7"/>
      <c r="X76" s="7"/>
    </row>
    <row r="77">
      <c r="A77" s="7"/>
      <c r="B77" s="7"/>
      <c r="C77" s="7"/>
      <c r="D77" s="7"/>
      <c r="E77" s="7"/>
      <c r="F77" s="7"/>
      <c r="G77" s="7"/>
      <c r="H77" s="7"/>
      <c r="I77" s="7"/>
      <c r="J77" s="7"/>
      <c r="K77" s="7"/>
      <c r="L77" s="7"/>
      <c r="M77" s="7"/>
      <c r="N77" s="7"/>
      <c r="O77" s="7"/>
      <c r="P77" s="7"/>
      <c r="Q77" s="7"/>
      <c r="R77" s="7"/>
      <c r="S77" s="7"/>
      <c r="T77" s="7"/>
      <c r="U77" s="7"/>
      <c r="V77" s="7"/>
      <c r="W77" s="7"/>
      <c r="X77" s="7"/>
    </row>
    <row r="78">
      <c r="A78" s="7"/>
      <c r="B78" s="7"/>
      <c r="C78" s="7"/>
      <c r="D78" s="7"/>
      <c r="E78" s="7"/>
      <c r="F78" s="7"/>
      <c r="G78" s="7"/>
      <c r="H78" s="7"/>
      <c r="I78" s="7"/>
      <c r="J78" s="7"/>
      <c r="K78" s="7"/>
      <c r="L78" s="7"/>
      <c r="M78" s="7"/>
      <c r="N78" s="7"/>
      <c r="O78" s="7"/>
      <c r="P78" s="7"/>
      <c r="Q78" s="7"/>
      <c r="R78" s="7"/>
      <c r="S78" s="7"/>
      <c r="T78" s="7"/>
      <c r="U78" s="7"/>
      <c r="V78" s="7"/>
      <c r="W78" s="7"/>
      <c r="X78" s="7"/>
    </row>
    <row r="79">
      <c r="A79" s="7"/>
      <c r="B79" s="7"/>
      <c r="C79" s="7"/>
      <c r="D79" s="7"/>
      <c r="E79" s="7"/>
      <c r="F79" s="7"/>
      <c r="G79" s="7"/>
      <c r="H79" s="7"/>
      <c r="I79" s="7"/>
      <c r="J79" s="7"/>
      <c r="K79" s="7"/>
      <c r="L79" s="7"/>
      <c r="M79" s="7"/>
      <c r="N79" s="7"/>
      <c r="O79" s="7"/>
      <c r="P79" s="7"/>
      <c r="Q79" s="7"/>
      <c r="R79" s="7"/>
      <c r="S79" s="7"/>
      <c r="T79" s="7"/>
      <c r="U79" s="7"/>
      <c r="V79" s="7"/>
      <c r="W79" s="7"/>
      <c r="X79" s="7"/>
    </row>
    <row r="80">
      <c r="A80" s="7"/>
      <c r="B80" s="7"/>
      <c r="C80" s="7"/>
      <c r="D80" s="7"/>
      <c r="E80" s="7"/>
      <c r="F80" s="7"/>
      <c r="G80" s="7"/>
      <c r="H80" s="7"/>
      <c r="I80" s="7"/>
      <c r="J80" s="7"/>
      <c r="K80" s="7"/>
      <c r="L80" s="7"/>
      <c r="M80" s="7"/>
      <c r="N80" s="7"/>
      <c r="O80" s="7"/>
      <c r="P80" s="7"/>
      <c r="Q80" s="7"/>
      <c r="R80" s="7"/>
      <c r="S80" s="7"/>
      <c r="T80" s="7"/>
      <c r="U80" s="7"/>
      <c r="V80" s="7"/>
      <c r="W80" s="7"/>
      <c r="X80" s="7"/>
    </row>
    <row r="81">
      <c r="A81" s="7"/>
      <c r="B81" s="7"/>
      <c r="C81" s="7"/>
      <c r="D81" s="7"/>
      <c r="E81" s="7"/>
      <c r="F81" s="7"/>
      <c r="G81" s="7"/>
      <c r="H81" s="7"/>
      <c r="I81" s="7"/>
      <c r="J81" s="7"/>
      <c r="K81" s="7"/>
      <c r="L81" s="7"/>
      <c r="M81" s="7"/>
      <c r="N81" s="7"/>
      <c r="O81" s="7"/>
      <c r="P81" s="7"/>
      <c r="Q81" s="7"/>
      <c r="R81" s="7"/>
      <c r="S81" s="7"/>
      <c r="T81" s="7"/>
      <c r="U81" s="7"/>
      <c r="V81" s="7"/>
      <c r="W81" s="7"/>
      <c r="X81" s="7"/>
    </row>
    <row r="82">
      <c r="A82" s="7"/>
      <c r="B82" s="7"/>
      <c r="C82" s="7"/>
      <c r="D82" s="7"/>
      <c r="E82" s="7"/>
      <c r="F82" s="7"/>
      <c r="G82" s="7"/>
      <c r="H82" s="7"/>
      <c r="I82" s="7"/>
      <c r="J82" s="7"/>
      <c r="K82" s="7"/>
      <c r="L82" s="7"/>
      <c r="M82" s="7"/>
      <c r="N82" s="7"/>
      <c r="O82" s="7"/>
      <c r="P82" s="7"/>
      <c r="Q82" s="7"/>
      <c r="R82" s="7"/>
      <c r="S82" s="7"/>
      <c r="T82" s="7"/>
      <c r="U82" s="7"/>
      <c r="V82" s="7"/>
      <c r="W82" s="7"/>
      <c r="X82" s="7"/>
    </row>
    <row r="83">
      <c r="A83" s="7"/>
      <c r="B83" s="7"/>
      <c r="C83" s="7"/>
      <c r="D83" s="7"/>
      <c r="E83" s="7"/>
      <c r="F83" s="7"/>
      <c r="G83" s="7"/>
      <c r="H83" s="7"/>
      <c r="I83" s="7"/>
      <c r="J83" s="7"/>
      <c r="K83" s="7"/>
      <c r="L83" s="7"/>
      <c r="M83" s="7"/>
      <c r="N83" s="7"/>
      <c r="O83" s="7"/>
      <c r="P83" s="7"/>
      <c r="Q83" s="7"/>
      <c r="R83" s="7"/>
      <c r="S83" s="7"/>
      <c r="T83" s="7"/>
      <c r="U83" s="7"/>
      <c r="V83" s="7"/>
      <c r="W83" s="7"/>
      <c r="X83" s="7"/>
    </row>
    <row r="84">
      <c r="A84" s="7"/>
      <c r="B84" s="7"/>
      <c r="C84" s="7"/>
      <c r="D84" s="7"/>
      <c r="E84" s="7"/>
      <c r="F84" s="7"/>
      <c r="G84" s="7"/>
      <c r="H84" s="7"/>
      <c r="I84" s="7"/>
      <c r="J84" s="7"/>
      <c r="K84" s="7"/>
      <c r="L84" s="7"/>
      <c r="M84" s="7"/>
      <c r="N84" s="7"/>
      <c r="O84" s="7"/>
      <c r="P84" s="7"/>
      <c r="Q84" s="7"/>
      <c r="R84" s="7"/>
      <c r="S84" s="7"/>
      <c r="T84" s="7"/>
      <c r="U84" s="7"/>
      <c r="V84" s="7"/>
      <c r="W84" s="7"/>
      <c r="X84" s="7"/>
    </row>
    <row r="85">
      <c r="A85" s="7"/>
      <c r="B85" s="7"/>
      <c r="C85" s="7"/>
      <c r="D85" s="7"/>
      <c r="E85" s="7"/>
      <c r="F85" s="7"/>
      <c r="G85" s="7"/>
      <c r="H85" s="7"/>
      <c r="I85" s="7"/>
      <c r="J85" s="7"/>
      <c r="K85" s="7"/>
      <c r="L85" s="7"/>
      <c r="M85" s="7"/>
      <c r="N85" s="7"/>
      <c r="O85" s="7"/>
      <c r="P85" s="7"/>
      <c r="Q85" s="7"/>
      <c r="R85" s="7"/>
      <c r="S85" s="7"/>
      <c r="T85" s="7"/>
      <c r="U85" s="7"/>
      <c r="V85" s="7"/>
      <c r="W85" s="7"/>
      <c r="X85" s="7"/>
    </row>
    <row r="86">
      <c r="A86" s="7"/>
      <c r="B86" s="7"/>
      <c r="C86" s="7"/>
      <c r="D86" s="7"/>
      <c r="E86" s="7"/>
      <c r="F86" s="7"/>
      <c r="G86" s="7"/>
      <c r="H86" s="7"/>
      <c r="I86" s="7"/>
      <c r="J86" s="7"/>
      <c r="K86" s="7"/>
      <c r="L86" s="7"/>
      <c r="M86" s="7"/>
      <c r="N86" s="7"/>
      <c r="O86" s="7"/>
      <c r="P86" s="7"/>
      <c r="Q86" s="7"/>
      <c r="R86" s="7"/>
      <c r="S86" s="7"/>
      <c r="T86" s="7"/>
      <c r="U86" s="7"/>
      <c r="V86" s="7"/>
      <c r="W86" s="7"/>
      <c r="X86" s="7"/>
    </row>
    <row r="87">
      <c r="A87" s="7"/>
      <c r="B87" s="7"/>
      <c r="C87" s="7"/>
      <c r="D87" s="7"/>
      <c r="E87" s="7"/>
      <c r="F87" s="7"/>
      <c r="G87" s="7"/>
      <c r="H87" s="7"/>
      <c r="I87" s="7"/>
      <c r="J87" s="7"/>
      <c r="K87" s="7"/>
      <c r="L87" s="7"/>
      <c r="M87" s="7"/>
      <c r="N87" s="7"/>
      <c r="O87" s="7"/>
      <c r="P87" s="7"/>
      <c r="Q87" s="7"/>
      <c r="R87" s="7"/>
      <c r="S87" s="7"/>
      <c r="T87" s="7"/>
      <c r="U87" s="7"/>
      <c r="V87" s="7"/>
      <c r="W87" s="7"/>
      <c r="X87" s="7"/>
    </row>
    <row r="88">
      <c r="A88" s="7"/>
      <c r="B88" s="7"/>
      <c r="C88" s="7"/>
      <c r="D88" s="7"/>
      <c r="E88" s="7"/>
      <c r="F88" s="7"/>
      <c r="G88" s="7"/>
      <c r="H88" s="7"/>
      <c r="I88" s="7"/>
      <c r="J88" s="7"/>
      <c r="K88" s="7"/>
      <c r="L88" s="7"/>
      <c r="M88" s="7"/>
      <c r="N88" s="7"/>
      <c r="O88" s="7"/>
      <c r="P88" s="7"/>
      <c r="Q88" s="7"/>
      <c r="R88" s="7"/>
      <c r="S88" s="7"/>
      <c r="T88" s="7"/>
      <c r="U88" s="7"/>
      <c r="V88" s="7"/>
      <c r="W88" s="7"/>
      <c r="X88" s="7"/>
    </row>
    <row r="89">
      <c r="A89" s="7"/>
      <c r="B89" s="7"/>
      <c r="C89" s="7"/>
      <c r="D89" s="7"/>
      <c r="E89" s="7"/>
      <c r="F89" s="7"/>
      <c r="G89" s="7"/>
      <c r="H89" s="7"/>
      <c r="I89" s="7"/>
      <c r="J89" s="7"/>
      <c r="K89" s="7"/>
      <c r="L89" s="7"/>
      <c r="M89" s="7"/>
      <c r="N89" s="7"/>
      <c r="O89" s="7"/>
      <c r="P89" s="7"/>
      <c r="Q89" s="7"/>
      <c r="R89" s="7"/>
      <c r="S89" s="7"/>
      <c r="T89" s="7"/>
      <c r="U89" s="7"/>
      <c r="V89" s="7"/>
      <c r="W89" s="7"/>
      <c r="X89" s="7"/>
    </row>
    <row r="90">
      <c r="A90" s="7"/>
      <c r="B90" s="7"/>
      <c r="C90" s="7"/>
      <c r="D90" s="7"/>
      <c r="E90" s="7"/>
      <c r="F90" s="7"/>
      <c r="G90" s="7"/>
      <c r="H90" s="7"/>
      <c r="I90" s="7"/>
      <c r="J90" s="7"/>
      <c r="K90" s="7"/>
      <c r="L90" s="7"/>
      <c r="M90" s="7"/>
      <c r="N90" s="7"/>
      <c r="O90" s="7"/>
      <c r="P90" s="7"/>
      <c r="Q90" s="7"/>
      <c r="R90" s="7"/>
      <c r="S90" s="7"/>
      <c r="T90" s="7"/>
      <c r="U90" s="7"/>
      <c r="V90" s="7"/>
      <c r="W90" s="7"/>
      <c r="X90" s="7"/>
    </row>
    <row r="91">
      <c r="A91" s="7"/>
      <c r="B91" s="7"/>
      <c r="C91" s="7"/>
      <c r="D91" s="7"/>
      <c r="E91" s="7"/>
      <c r="F91" s="7"/>
      <c r="G91" s="7"/>
      <c r="H91" s="7"/>
      <c r="I91" s="7"/>
      <c r="J91" s="7"/>
      <c r="K91" s="7"/>
      <c r="L91" s="7"/>
      <c r="M91" s="7"/>
      <c r="N91" s="7"/>
      <c r="O91" s="7"/>
      <c r="P91" s="7"/>
      <c r="Q91" s="7"/>
      <c r="R91" s="7"/>
      <c r="S91" s="7"/>
      <c r="T91" s="7"/>
      <c r="U91" s="7"/>
      <c r="V91" s="7"/>
      <c r="W91" s="7"/>
      <c r="X91" s="7"/>
    </row>
    <row r="92">
      <c r="A92" s="7"/>
      <c r="B92" s="7"/>
      <c r="C92" s="7"/>
      <c r="D92" s="7"/>
      <c r="E92" s="7"/>
      <c r="F92" s="7"/>
      <c r="G92" s="7"/>
      <c r="H92" s="7"/>
      <c r="I92" s="7"/>
      <c r="J92" s="7"/>
      <c r="K92" s="7"/>
      <c r="L92" s="7"/>
      <c r="M92" s="7"/>
      <c r="N92" s="7"/>
      <c r="O92" s="7"/>
      <c r="P92" s="7"/>
      <c r="Q92" s="7"/>
      <c r="R92" s="7"/>
      <c r="S92" s="7"/>
      <c r="T92" s="7"/>
      <c r="U92" s="7"/>
      <c r="V92" s="7"/>
      <c r="W92" s="7"/>
      <c r="X92" s="7"/>
    </row>
    <row r="93">
      <c r="A93" s="7"/>
      <c r="B93" s="7"/>
      <c r="C93" s="7"/>
      <c r="D93" s="7"/>
      <c r="E93" s="7"/>
      <c r="F93" s="7"/>
      <c r="G93" s="7"/>
      <c r="H93" s="7"/>
      <c r="I93" s="7"/>
      <c r="J93" s="7"/>
      <c r="K93" s="7"/>
      <c r="L93" s="7"/>
      <c r="M93" s="7"/>
      <c r="N93" s="7"/>
      <c r="O93" s="7"/>
      <c r="P93" s="7"/>
      <c r="Q93" s="7"/>
      <c r="R93" s="7"/>
      <c r="S93" s="7"/>
      <c r="T93" s="7"/>
      <c r="U93" s="7"/>
      <c r="V93" s="7"/>
      <c r="W93" s="7"/>
      <c r="X93" s="7"/>
    </row>
    <row r="94">
      <c r="A94" s="7"/>
      <c r="B94" s="7"/>
      <c r="C94" s="7"/>
      <c r="D94" s="7"/>
      <c r="E94" s="7"/>
      <c r="F94" s="7"/>
      <c r="G94" s="7"/>
      <c r="H94" s="7"/>
      <c r="I94" s="7"/>
      <c r="J94" s="7"/>
      <c r="K94" s="7"/>
      <c r="L94" s="7"/>
      <c r="M94" s="7"/>
      <c r="N94" s="7"/>
      <c r="O94" s="7"/>
      <c r="P94" s="7"/>
      <c r="Q94" s="7"/>
      <c r="R94" s="7"/>
      <c r="S94" s="7"/>
      <c r="T94" s="7"/>
      <c r="U94" s="7"/>
      <c r="V94" s="7"/>
      <c r="W94" s="7"/>
      <c r="X94" s="7"/>
    </row>
    <row r="95">
      <c r="A95" s="7"/>
      <c r="B95" s="7"/>
      <c r="C95" s="7"/>
      <c r="D95" s="7"/>
      <c r="E95" s="7"/>
      <c r="F95" s="7"/>
      <c r="G95" s="7"/>
      <c r="H95" s="7"/>
      <c r="I95" s="7"/>
      <c r="J95" s="7"/>
      <c r="K95" s="7"/>
      <c r="L95" s="7"/>
      <c r="M95" s="7"/>
      <c r="N95" s="7"/>
      <c r="O95" s="7"/>
      <c r="P95" s="7"/>
      <c r="Q95" s="7"/>
      <c r="R95" s="7"/>
      <c r="S95" s="7"/>
      <c r="T95" s="7"/>
      <c r="U95" s="7"/>
      <c r="V95" s="7"/>
      <c r="W95" s="7"/>
      <c r="X95" s="7"/>
    </row>
    <row r="96">
      <c r="A96" s="7"/>
      <c r="B96" s="7"/>
      <c r="C96" s="7"/>
      <c r="D96" s="7"/>
      <c r="E96" s="7"/>
      <c r="F96" s="7"/>
      <c r="G96" s="7"/>
      <c r="H96" s="7"/>
      <c r="I96" s="7"/>
      <c r="J96" s="7"/>
      <c r="K96" s="7"/>
      <c r="L96" s="7"/>
      <c r="M96" s="7"/>
      <c r="N96" s="7"/>
      <c r="O96" s="7"/>
      <c r="P96" s="7"/>
      <c r="Q96" s="7"/>
      <c r="R96" s="7"/>
      <c r="S96" s="7"/>
      <c r="T96" s="7"/>
      <c r="U96" s="7"/>
      <c r="V96" s="7"/>
      <c r="W96" s="7"/>
      <c r="X96" s="7"/>
    </row>
    <row r="97">
      <c r="A97" s="7"/>
      <c r="B97" s="7"/>
      <c r="C97" s="7"/>
      <c r="D97" s="7"/>
      <c r="E97" s="7"/>
      <c r="F97" s="7"/>
      <c r="G97" s="7"/>
      <c r="H97" s="7"/>
      <c r="I97" s="7"/>
      <c r="J97" s="7"/>
      <c r="K97" s="7"/>
      <c r="L97" s="7"/>
      <c r="M97" s="7"/>
      <c r="N97" s="7"/>
      <c r="O97" s="7"/>
      <c r="P97" s="7"/>
      <c r="Q97" s="7"/>
      <c r="R97" s="7"/>
      <c r="S97" s="7"/>
      <c r="T97" s="7"/>
      <c r="U97" s="7"/>
      <c r="V97" s="7"/>
      <c r="W97" s="7"/>
      <c r="X97" s="7"/>
    </row>
    <row r="98">
      <c r="A98" s="7"/>
      <c r="B98" s="7"/>
      <c r="C98" s="7"/>
      <c r="D98" s="7"/>
      <c r="E98" s="7"/>
      <c r="F98" s="7"/>
      <c r="G98" s="7"/>
      <c r="H98" s="7"/>
      <c r="I98" s="7"/>
      <c r="J98" s="7"/>
      <c r="K98" s="7"/>
      <c r="L98" s="7"/>
      <c r="M98" s="7"/>
      <c r="N98" s="7"/>
      <c r="O98" s="7"/>
      <c r="P98" s="7"/>
      <c r="Q98" s="7"/>
      <c r="R98" s="7"/>
      <c r="S98" s="7"/>
      <c r="T98" s="7"/>
      <c r="U98" s="7"/>
      <c r="V98" s="7"/>
      <c r="W98" s="7"/>
      <c r="X98" s="7"/>
    </row>
    <row r="99">
      <c r="A99" s="7"/>
      <c r="B99" s="7"/>
      <c r="C99" s="7"/>
      <c r="D99" s="7"/>
      <c r="E99" s="7"/>
      <c r="F99" s="7"/>
      <c r="G99" s="7"/>
      <c r="H99" s="7"/>
      <c r="I99" s="7"/>
      <c r="J99" s="7"/>
      <c r="K99" s="7"/>
      <c r="L99" s="7"/>
      <c r="M99" s="7"/>
      <c r="N99" s="7"/>
      <c r="O99" s="7"/>
      <c r="P99" s="7"/>
      <c r="Q99" s="7"/>
      <c r="R99" s="7"/>
      <c r="S99" s="7"/>
      <c r="T99" s="7"/>
      <c r="U99" s="7"/>
      <c r="V99" s="7"/>
      <c r="W99" s="7"/>
      <c r="X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row>
  </sheetData>
  <mergeCells count="5">
    <mergeCell ref="A3:A7"/>
    <mergeCell ref="B3:B7"/>
    <mergeCell ref="D6:D7"/>
    <mergeCell ref="A13:A20"/>
    <mergeCell ref="B13:B20"/>
  </mergeCells>
  <hyperlinks>
    <hyperlink r:id="rId1" ref="E9"/>
    <hyperlink r:id="rId2" ref="E10"/>
  </hyperlinks>
  <drawing r:id="rId3"/>
</worksheet>
</file>

<file path=xl/worksheets/sheet3.xml><?xml version="1.0" encoding="utf-8"?>
<worksheet xmlns="http://schemas.openxmlformats.org/spreadsheetml/2006/main" xmlns:r="http://schemas.openxmlformats.org/officeDocument/2006/relationships">
  <dimension ref="A1:E7"/>
  <sheetViews>
    <sheetView workbookViewId="0"/>
  </sheetViews>
  <sheetFormatPr defaultRowHeight="15"/>
  <cols>
    <col min="1" max="5" width="16" customWidth="1"/>
  </cols>
  <sheetData>
    <row r="1">
      <c r="A1" t="s">
        <v>938</v>
      </c>
      <c r="B1" t="s">
        <v>939</v>
      </c>
      <c r="C1" t="s">
        <v>940</v>
      </c>
      <c r="D1" t="s">
        <v>941</v>
      </c>
      <c r="E1" t="s">
        <v>942</v>
      </c>
    </row>
    <row r="2">
      <c r="A2" t="s">
        <v>943</v>
      </c>
      <c r="B2">
        <f>COUNTIF('CC info'!$A$3:$A$170,A2&amp;"*")</f>
        <v>35</v>
      </c>
      <c r="C2">
        <f>COUNTIFS('CC info'!$A$3:$A$170,A2&amp;"*",'CC info'!$H$3:$H$170,"&gt;=0",'CC info'!$H$3:$H$170,"&lt;=10")</f>
        <v>9</v>
      </c>
      <c r="D2">
        <f>IFERROR(AVERAGEIFS('CC info'!$H$3:$H$170,'CC info'!$A$3:$A$170,A2&amp;"*",'CC info'!$H$3:$H$170,"&gt;=0",'CC info'!$H$3:$H$170,"&lt;=10"),"")</f>
        <v>4.077777777777778</v>
      </c>
      <c r="E2">
        <f t="shared" ref="E2:E5" si="0">C2/B2</f>
        <v>0.2571428571428571</v>
      </c>
    </row>
    <row r="3">
      <c r="A3" t="s">
        <v>944</v>
      </c>
      <c r="B3">
        <f>COUNTIF('CC info'!$A$3:$A$170,A3&amp;"*")</f>
        <v>36</v>
      </c>
      <c r="C3">
        <f>COUNTIFS('CC info'!$A$3:$A$170,A3&amp;"*",'CC info'!$H$3:$H$170,"&gt;=0",'CC info'!$H$3:$H$170,"&lt;=10")</f>
        <v>7</v>
      </c>
      <c r="D3">
        <f>IFERROR(AVERAGEIFS('CC info'!$H$3:$H$170,'CC info'!$A$3:$A$170,A3&amp;"*",'CC info'!$H$3:$H$170,"&gt;=0",'CC info'!$H$3:$H$170,"&lt;=10"),"")</f>
        <v>4.271428571428571</v>
      </c>
      <c r="E3">
        <f t="shared" si="0"/>
        <v>0.19444444444444445</v>
      </c>
    </row>
    <row r="4">
      <c r="A4" t="s">
        <v>945</v>
      </c>
      <c r="B4">
        <f>COUNTIF('CC info'!$A$3:$A$170,A4&amp;"*")</f>
        <v>50</v>
      </c>
      <c r="C4">
        <f>COUNTIFS('CC info'!$A$3:$A$170,A4&amp;"*",'CC info'!$H$3:$H$170,"&gt;=0",'CC info'!$H$3:$H$170,"&lt;=10")</f>
        <v>10</v>
      </c>
      <c r="D4">
        <f>IFERROR(AVERAGEIFS('CC info'!$H$3:$H$170,'CC info'!$A$3:$A$170,A4&amp;"*",'CC info'!$H$3:$H$170,"&gt;=0",'CC info'!$H$3:$H$170,"&lt;=10"),"")</f>
        <v>5.2</v>
      </c>
      <c r="E4">
        <f t="shared" si="0"/>
        <v>0.2</v>
      </c>
    </row>
    <row r="5">
      <c r="A5" t="s">
        <v>946</v>
      </c>
      <c r="B5">
        <f>COUNTIF('CC info'!$A$3:$A$170,A5&amp;"*")</f>
        <v>47</v>
      </c>
      <c r="C5">
        <f>COUNTIFS('CC info'!$A$3:$A$170,A5&amp;"*",'CC info'!$H$3:$H$170,"&gt;=0",'CC info'!$H$3:$H$170,"&lt;=10")</f>
        <v>18</v>
      </c>
      <c r="D5">
        <f>IFERROR(AVERAGEIFS('CC info'!$H$3:$H$170,'CC info'!$A$3:$A$170,A5&amp;"*",'CC info'!$H$3:$H$170,"&gt;=0",'CC info'!$H$3:$H$170,"&lt;=10"),"")</f>
        <v>6.300000000000001</v>
      </c>
      <c r="E5">
        <f t="shared" si="0"/>
        <v>0.3829787234042553</v>
      </c>
    </row>
    <row r="7">
      <c r="A7" t="s">
        <v>947</v>
      </c>
    </row>
  </sheetData>
  <pageMargins left="0.7" right="0.7" top="0.75" bottom="0.75" header="0.3" footer="0.3"/>
  <drawing r:id="rId1"/>
</worksheet>
</file>